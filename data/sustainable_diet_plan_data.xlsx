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https://uses0-my.sharepoint.com/personal/ngvargas_us_es/Documents/Académico/Sapienza/clustering_IO/"/>
    </mc:Choice>
  </mc:AlternateContent>
  <xr:revisionPtr revIDLastSave="514" documentId="13_ncr:1_{070DA354-7C78-D941-B67E-7748F8374015}" xr6:coauthVersionLast="47" xr6:coauthVersionMax="47" xr10:uidLastSave="{35CB0AEB-49A8-D442-AF9A-ED230BAE3FED}"/>
  <bookViews>
    <workbookView xWindow="0" yWindow="760" windowWidth="30240" windowHeight="15380" xr2:uid="{00000000-000D-0000-FFFF-FFFF00000000}"/>
  </bookViews>
  <sheets>
    <sheet name="food nutritional values" sheetId="2" r:id="rId1"/>
    <sheet name="group lunch lower bounds" sheetId="3" r:id="rId2"/>
    <sheet name="group daily intake requirements" sheetId="4" state="hidden" r:id="rId3"/>
    <sheet name="Foglio1 (original)" sheetId="1" state="hidden" r:id="rId4"/>
  </sheets>
  <definedNames>
    <definedName name="_xlnm._FilterDatabase" localSheetId="0" hidden="1">'food nutritional values'!$A$1:$R$179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E6" i="3"/>
  <c r="F6" i="3"/>
  <c r="G6" i="3"/>
  <c r="H6" i="3"/>
  <c r="C6" i="3"/>
  <c r="D5" i="3"/>
  <c r="E5" i="3"/>
  <c r="F5" i="3"/>
  <c r="G5" i="3"/>
  <c r="H5" i="3"/>
  <c r="C5" i="3"/>
  <c r="D4" i="3"/>
  <c r="E4" i="3"/>
  <c r="F4" i="3"/>
  <c r="G4" i="3"/>
  <c r="H4" i="3"/>
  <c r="C4" i="3"/>
  <c r="D3" i="3"/>
  <c r="E3" i="3"/>
  <c r="F3" i="3"/>
  <c r="G3" i="3"/>
  <c r="H3" i="3"/>
  <c r="C3" i="3"/>
  <c r="D2" i="3"/>
  <c r="E2" i="3"/>
  <c r="F2" i="3"/>
  <c r="G2" i="3"/>
  <c r="H2" i="3"/>
  <c r="C2" i="3"/>
  <c r="B6" i="3"/>
  <c r="B5" i="3"/>
  <c r="B4" i="3"/>
  <c r="B3" i="3"/>
  <c r="B2" i="3"/>
  <c r="B10" i="4"/>
  <c r="B11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<sst xmlns="http://schemas.openxmlformats.org/spreadsheetml/2006/main" count="898" uniqueCount="268">
  <si>
    <t>ENERGY</t>
  </si>
  <si>
    <t>FAT</t>
  </si>
  <si>
    <t>CARB</t>
  </si>
  <si>
    <t>SUGARS</t>
  </si>
  <si>
    <t>PROTEIN</t>
  </si>
  <si>
    <t>FIBRES</t>
  </si>
  <si>
    <t>SODIUM</t>
  </si>
  <si>
    <t xml:space="preserve">CO2eq </t>
  </si>
  <si>
    <t>CALCIUM</t>
  </si>
  <si>
    <t xml:space="preserve">IRON </t>
  </si>
  <si>
    <t>H2O</t>
  </si>
  <si>
    <t>N</t>
  </si>
  <si>
    <t>(Kcal)</t>
  </si>
  <si>
    <t>(g)</t>
  </si>
  <si>
    <t>(mg)</t>
  </si>
  <si>
    <t>(μg)</t>
  </si>
  <si>
    <t>(lt)</t>
  </si>
  <si>
    <t>VIT B12</t>
  </si>
  <si>
    <t>no.</t>
  </si>
  <si>
    <t>DISH NAME</t>
  </si>
  <si>
    <t xml:space="preserve">Creamy chickpea pasta
</t>
  </si>
  <si>
    <t>Creamy bean pasta</t>
  </si>
  <si>
    <t>Creamy lentil pasta</t>
  </si>
  <si>
    <t>Creamy vegetable pasta (version 1)</t>
  </si>
  <si>
    <t>Creamy vegetable pasta (version 2)</t>
  </si>
  <si>
    <t>Pasta with pesto sauce</t>
  </si>
  <si>
    <t>Pasta with tomato sauce</t>
  </si>
  <si>
    <t>Pasta with tomato sauce and basil</t>
  </si>
  <si>
    <t>Pasta with vegan sauce</t>
  </si>
  <si>
    <t>Pasta with vegetables</t>
  </si>
  <si>
    <t>Pasta marinara</t>
  </si>
  <si>
    <t>Pasta with tomato sauce and oregano</t>
  </si>
  <si>
    <t>Pasta with zucchini</t>
  </si>
  <si>
    <t>Pasta and potatoes</t>
  </si>
  <si>
    <t>Rice and potatoes</t>
  </si>
  <si>
    <t>Tomato risotto</t>
  </si>
  <si>
    <t>Saffron risotto</t>
  </si>
  <si>
    <t>Creamy pea risotto</t>
  </si>
  <si>
    <t>Endive risotto</t>
  </si>
  <si>
    <t>Pumpkin risotto</t>
  </si>
  <si>
    <t>Zucchini risotto</t>
  </si>
  <si>
    <t>Pasta with peas</t>
  </si>
  <si>
    <t>Lemon risotto</t>
  </si>
  <si>
    <t>Vegetable soup with rice</t>
  </si>
  <si>
    <t>Traditional Genova vegetable soup</t>
  </si>
  <si>
    <t>Pasta with eggplants</t>
  </si>
  <si>
    <t>Artichoke risotto</t>
  </si>
  <si>
    <t>Soup with rice and peas</t>
  </si>
  <si>
    <t>Pasta with pumpkin</t>
  </si>
  <si>
    <t>Pasta with capers and olives</t>
  </si>
  <si>
    <t>Creamy potato barley soup</t>
  </si>
  <si>
    <t>Soup with rice and spinaches</t>
  </si>
  <si>
    <t>Soup with rice and cabbage</t>
  </si>
  <si>
    <t>Rice with creamy leek</t>
  </si>
  <si>
    <t>Pasta with butter and parmesan</t>
  </si>
  <si>
    <t>Egg pasta with tomato sauce</t>
  </si>
  <si>
    <t>Pasta with tomato sauce and ricotta cheese</t>
  </si>
  <si>
    <t>Parmesan rice</t>
  </si>
  <si>
    <t>Pasta with tomato sauce and butter</t>
  </si>
  <si>
    <t>Mushroom risotto</t>
  </si>
  <si>
    <t>Pasta with caciotta cheese</t>
  </si>
  <si>
    <t>Parmesan rice soup</t>
  </si>
  <si>
    <t>Dumplings with tomato sauce</t>
  </si>
  <si>
    <t>Rice with vegetables</t>
  </si>
  <si>
    <t>Pasta with tomato sauce and mozzarella cheese</t>
  </si>
  <si>
    <t>Vegetable summer soup</t>
  </si>
  <si>
    <t>Pasta with tomato sauce, peas and green beans</t>
  </si>
  <si>
    <t>Potato dumplings with tomato sauce</t>
  </si>
  <si>
    <t>Baked pasta with bechamel sauce</t>
  </si>
  <si>
    <t>Pizza Margherita</t>
  </si>
  <si>
    <t>Semolina gnocchi</t>
  </si>
  <si>
    <t>Meat filled pasta with tomato sauce</t>
  </si>
  <si>
    <t>Lasagna</t>
  </si>
  <si>
    <t>Pasta with Italian meat sauce</t>
  </si>
  <si>
    <t>Pasta with trout sauce</t>
  </si>
  <si>
    <t>Pasta with tuna</t>
  </si>
  <si>
    <t>Pasta Amatriciana</t>
  </si>
  <si>
    <t>Pasta with tomato sauce and anchovies</t>
  </si>
  <si>
    <t>Tortellini with butter and parmesan</t>
  </si>
  <si>
    <t>Gnocchi with Italian meat sauce</t>
  </si>
  <si>
    <t>Tortellini with tomato sauce</t>
  </si>
  <si>
    <t>Tortellini with butter and sage</t>
  </si>
  <si>
    <t>Rice salad</t>
  </si>
  <si>
    <t>Pasta salad</t>
  </si>
  <si>
    <t>Polenta with Italian meat sauce</t>
  </si>
  <si>
    <t>Creamy tuna rice</t>
  </si>
  <si>
    <t>Frittata with spinaches</t>
  </si>
  <si>
    <t>Scrambled eggs</t>
  </si>
  <si>
    <t>Frittata with herbs</t>
  </si>
  <si>
    <t>Frittata with zucchini</t>
  </si>
  <si>
    <t>Frittata</t>
  </si>
  <si>
    <t>Potato frittata</t>
  </si>
  <si>
    <t>Omelette</t>
  </si>
  <si>
    <t>Asiago cheese</t>
  </si>
  <si>
    <t>Caciotta cheese</t>
  </si>
  <si>
    <t>Crescenza cheese</t>
  </si>
  <si>
    <t>Montasio cheese</t>
  </si>
  <si>
    <t>Provolone cheese</t>
  </si>
  <si>
    <t>Mozzarella cheese</t>
  </si>
  <si>
    <t>Caprese salad</t>
  </si>
  <si>
    <t>Roast lamb</t>
  </si>
  <si>
    <t>Lamb stew</t>
  </si>
  <si>
    <t>Roast beef</t>
  </si>
  <si>
    <t>Balsamic braised beef</t>
  </si>
  <si>
    <t>Veal with lemon</t>
  </si>
  <si>
    <t>Veal cutlets</t>
  </si>
  <si>
    <t>Beef scallops with tomato sauce</t>
  </si>
  <si>
    <t>Beef burger with tomato sauce</t>
  </si>
  <si>
    <t>Beef stew with potatoes</t>
  </si>
  <si>
    <t>Meatballs with parsley</t>
  </si>
  <si>
    <t>Beef stew with carrots and peppers</t>
  </si>
  <si>
    <t>Baked meatballs with tomato sauce</t>
  </si>
  <si>
    <t>Beef with tomato sauce</t>
  </si>
  <si>
    <t>Boiled beef with tomato sauce</t>
  </si>
  <si>
    <t xml:space="preserve">Meatloaf </t>
  </si>
  <si>
    <t>Beef burger</t>
  </si>
  <si>
    <t>Meatballs with tomato sauce</t>
  </si>
  <si>
    <t>Beef/pork meatballs with tomato sauce</t>
  </si>
  <si>
    <t xml:space="preserve">Beef meatloaf </t>
  </si>
  <si>
    <t xml:space="preserve">Beef scallops </t>
  </si>
  <si>
    <t>Beef strips</t>
  </si>
  <si>
    <t>Roast pork</t>
  </si>
  <si>
    <t>Breaded pork cutlets</t>
  </si>
  <si>
    <t>Roast pork ham</t>
  </si>
  <si>
    <t>Pork burger</t>
  </si>
  <si>
    <t>Pork stew</t>
  </si>
  <si>
    <t>Roast turkey</t>
  </si>
  <si>
    <t>Roast chicken thighs</t>
  </si>
  <si>
    <t>Turkey breasts with lemom</t>
  </si>
  <si>
    <t>Turkey breasts</t>
  </si>
  <si>
    <t>Chicken breasts with basil and parsley sauce</t>
  </si>
  <si>
    <t>Sage and butter turkey</t>
  </si>
  <si>
    <t>Turkey stew</t>
  </si>
  <si>
    <t>Turkey and chicken sausage</t>
  </si>
  <si>
    <t>Sage and butter chicken</t>
  </si>
  <si>
    <t>Chicken breasts</t>
  </si>
  <si>
    <t>Breaded chicken breasts</t>
  </si>
  <si>
    <t>Chicken fingers</t>
  </si>
  <si>
    <t>Cod croquettes</t>
  </si>
  <si>
    <t>Hake croquettes</t>
  </si>
  <si>
    <t>Sole fillets au gratin</t>
  </si>
  <si>
    <t xml:space="preserve">Breaded sole fillets </t>
  </si>
  <si>
    <t>Cod fillets au gratin</t>
  </si>
  <si>
    <t>Hake fillets au gratin</t>
  </si>
  <si>
    <t>Breaded bass fillets</t>
  </si>
  <si>
    <t>Hake fillets with tomato sauce</t>
  </si>
  <si>
    <t>Cod fillets with tomato sauce</t>
  </si>
  <si>
    <t>Cuttlefish with peas</t>
  </si>
  <si>
    <t>Baked John Dory</t>
  </si>
  <si>
    <t>Baked dogfish</t>
  </si>
  <si>
    <t>Dogfish cutlet</t>
  </si>
  <si>
    <t>Crispy baked cod sticks</t>
  </si>
  <si>
    <t>Baked codfish balls</t>
  </si>
  <si>
    <t>Tuna salad</t>
  </si>
  <si>
    <t>Baked anchovies with breadcrumbs</t>
  </si>
  <si>
    <t>Tuna pie</t>
  </si>
  <si>
    <t>Breaded cod medallions</t>
  </si>
  <si>
    <t>Breaded hake medallions</t>
  </si>
  <si>
    <t>Breaded bass medallions</t>
  </si>
  <si>
    <t>Cod balls</t>
  </si>
  <si>
    <t>Tuna in olive oil</t>
  </si>
  <si>
    <t>Braised chard</t>
  </si>
  <si>
    <t>Broccoli with olive oil</t>
  </si>
  <si>
    <t>Braised artichokes</t>
  </si>
  <si>
    <t>Sliced carrots</t>
  </si>
  <si>
    <t>Green beans with olive oil</t>
  </si>
  <si>
    <t>Fennel salad</t>
  </si>
  <si>
    <t>Fresh tomato salad</t>
  </si>
  <si>
    <t>Mixed green salad with cucumber</t>
  </si>
  <si>
    <t xml:space="preserve">Mixed green salad </t>
  </si>
  <si>
    <t>Green salad</t>
  </si>
  <si>
    <t>Mix of potatoes, carrots and green beans</t>
  </si>
  <si>
    <t>Backed potatoes</t>
  </si>
  <si>
    <t>Boiled potatoes with olive oil</t>
  </si>
  <si>
    <t>Crispy backed potatoes</t>
  </si>
  <si>
    <t>Sauteed potatoes</t>
  </si>
  <si>
    <t>Spinach with olive oil</t>
  </si>
  <si>
    <t>Zucchini au gratin</t>
  </si>
  <si>
    <t>Sauteed zucchini</t>
  </si>
  <si>
    <t>Eggplants with tomato sauce</t>
  </si>
  <si>
    <t>Cabbage with tomato sauce</t>
  </si>
  <si>
    <t>Field mushrooms with parsley</t>
  </si>
  <si>
    <t>Green bean with tomato sauce</t>
  </si>
  <si>
    <t>Peppers au gratin</t>
  </si>
  <si>
    <t>Peppers with olive oil</t>
  </si>
  <si>
    <t xml:space="preserve">Stewed early potatoes </t>
  </si>
  <si>
    <t>Fennels au gratin</t>
  </si>
  <si>
    <t>Mashed potatoes</t>
  </si>
  <si>
    <t>Spinachs with butter and parmesan</t>
  </si>
  <si>
    <t>Carrots with butter</t>
  </si>
  <si>
    <t>Vegetables au gratin</t>
  </si>
  <si>
    <t>Baked asparagus with bechamel sauce</t>
  </si>
  <si>
    <t>Potato croquettes</t>
  </si>
  <si>
    <t>Cauliflower with anchovy suace</t>
  </si>
  <si>
    <t>Baked caulifower with bechamel sauce</t>
  </si>
  <si>
    <t>Fennels with butter</t>
  </si>
  <si>
    <t xml:space="preserve">Bread </t>
  </si>
  <si>
    <t>Fruit</t>
  </si>
  <si>
    <t>First course dishes</t>
  </si>
  <si>
    <t>from no.</t>
  </si>
  <si>
    <t>LEGEND</t>
  </si>
  <si>
    <t>to no.</t>
  </si>
  <si>
    <t>Second course dishes</t>
  </si>
  <si>
    <t>Side dishes</t>
  </si>
  <si>
    <t>Egg dishes</t>
  </si>
  <si>
    <t>Dairy</t>
  </si>
  <si>
    <t>Red meat dishes</t>
  </si>
  <si>
    <t>White meat dishes</t>
  </si>
  <si>
    <t>Fish dishes</t>
  </si>
  <si>
    <t xml:space="preserve">Vegetables </t>
  </si>
  <si>
    <t>ENERGY (Kcal)</t>
  </si>
  <si>
    <t>FAT (g)</t>
  </si>
  <si>
    <t>CARB (g)</t>
  </si>
  <si>
    <t>SUGARS (g)</t>
  </si>
  <si>
    <t>PROTEIN (g)</t>
  </si>
  <si>
    <t>FIBRES (g)</t>
  </si>
  <si>
    <t>N (g)</t>
  </si>
  <si>
    <t>CO2eq (g)</t>
  </si>
  <si>
    <t>SODIUM (mg)</t>
  </si>
  <si>
    <t>CALCIUM (mg)</t>
  </si>
  <si>
    <t>IRON (mg)</t>
  </si>
  <si>
    <t>H2O (lt)</t>
  </si>
  <si>
    <t>FOOD GROUP</t>
  </si>
  <si>
    <t>GROUP</t>
  </si>
  <si>
    <t>VIT B12 (μg)</t>
  </si>
  <si>
    <t>men 19-30</t>
  </si>
  <si>
    <t>men 31-50</t>
  </si>
  <si>
    <t>men 51-70</t>
  </si>
  <si>
    <t>men &gt;70</t>
  </si>
  <si>
    <t>women  (pregnant) 19-30</t>
  </si>
  <si>
    <t>women  (pregnant) 31-50</t>
  </si>
  <si>
    <t>women (nonpregnant) 19-30</t>
  </si>
  <si>
    <t>women  (nonpregnant) 31-50</t>
  </si>
  <si>
    <t>women  (nonpregnant) 51-70</t>
  </si>
  <si>
    <t>women  (nonpregnant) &gt;70</t>
  </si>
  <si>
    <t>men 19-50</t>
  </si>
  <si>
    <t>men 50-70</t>
  </si>
  <si>
    <t>women (nonpregnant) 19-50</t>
  </si>
  <si>
    <t>women (pregnant) 19-50</t>
  </si>
  <si>
    <t>women 50-70</t>
  </si>
  <si>
    <t>my regrouping</t>
  </si>
  <si>
    <t>Beef</t>
  </si>
  <si>
    <t>Breaded fish</t>
  </si>
  <si>
    <t>Chicken</t>
  </si>
  <si>
    <t>Breaded meat</t>
  </si>
  <si>
    <t>Cheese</t>
  </si>
  <si>
    <t>Eggs</t>
  </si>
  <si>
    <t>Tuna</t>
  </si>
  <si>
    <t>Cod</t>
  </si>
  <si>
    <t>Fish</t>
  </si>
  <si>
    <t>Turkey</t>
  </si>
  <si>
    <t>Hake</t>
  </si>
  <si>
    <t>Pork</t>
  </si>
  <si>
    <t>Meatballs</t>
  </si>
  <si>
    <t>Veal</t>
  </si>
  <si>
    <t>Lamb</t>
  </si>
  <si>
    <t>Salad</t>
  </si>
  <si>
    <t>Gratin vegetables</t>
  </si>
  <si>
    <t>Vegetables salad</t>
  </si>
  <si>
    <t>Legume pasta</t>
  </si>
  <si>
    <t>Rice</t>
  </si>
  <si>
    <t>Soup</t>
  </si>
  <si>
    <t>Potatoes</t>
  </si>
  <si>
    <t>Tortellini</t>
  </si>
  <si>
    <t>Pizza</t>
  </si>
  <si>
    <t>Pasta</t>
  </si>
  <si>
    <t>Gnocchi</t>
  </si>
  <si>
    <t>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</si>
</sst>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/>
    <xf numFmtId="2" fontId="1" fillId="11" borderId="0" xfId="0" applyNumberFormat="1" applyFont="1" applyFill="1" applyAlignment="1">
      <alignment horizontal="center"/>
    </xf>
    <xf numFmtId="164" fontId="1" fillId="11" borderId="0" xfId="0" applyNumberFormat="1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2" fontId="2" fillId="1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164" fontId="0" fillId="9" borderId="0" xfId="0" applyNumberFormat="1" applyFill="1"/>
    <xf numFmtId="0" fontId="0" fillId="13" borderId="0" xfId="0" applyFill="1"/>
    <xf numFmtId="164" fontId="0" fillId="13" borderId="0" xfId="0" applyNumberFormat="1" applyFill="1"/>
    <xf numFmtId="0" fontId="0" fillId="14" borderId="0" xfId="0" applyFill="1"/>
    <xf numFmtId="164" fontId="0" fillId="14" borderId="0" xfId="0" applyNumberFormat="1" applyFill="1"/>
    <xf numFmtId="164" fontId="0" fillId="4" borderId="0" xfId="0" applyNumberFormat="1" applyFill="1"/>
    <xf numFmtId="164" fontId="0" fillId="10" borderId="0" xfId="0" applyNumberForma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F959-6FCF-724E-8D97-6B80EEE2246D}">
  <dimension ref="A1:Z193"/>
  <sheetViews>
    <sheetView tabSelected="1" topLeftCell="D1" zoomScale="135" zoomScaleNormal="140" workbookViewId="0">
      <selection activeCell="C1" sqref="B1:C1048576"/>
    </sheetView>
  </sheetViews>
  <sheetFormatPr baseColWidth="10" defaultColWidth="8.83203125" defaultRowHeight="15" x14ac:dyDescent="0.2"/>
  <cols>
    <col min="1" max="1" width="5.1640625" style="1" hidden="1" customWidth="1"/>
    <col min="2" max="2" width="16.5" style="1" hidden="1" customWidth="1"/>
    <col min="3" max="3" width="14.5" style="1" hidden="1" customWidth="1"/>
    <col min="4" max="4" width="15.83203125" style="35" customWidth="1"/>
    <col min="5" max="5" width="34.83203125" customWidth="1"/>
    <col min="6" max="6" width="15.33203125" style="3" customWidth="1"/>
    <col min="7" max="7" width="13.83203125" style="3" customWidth="1"/>
    <col min="8" max="8" width="15.5" style="3" customWidth="1"/>
    <col min="9" max="9" width="12.1640625" style="3" customWidth="1"/>
    <col min="10" max="10" width="9.5" style="3" customWidth="1"/>
    <col min="11" max="11" width="6.5" style="3" customWidth="1"/>
    <col min="12" max="12" width="7.5" style="3" customWidth="1"/>
    <col min="13" max="13" width="5.33203125" style="3" customWidth="1"/>
    <col min="14" max="14" width="9.33203125" style="3" customWidth="1"/>
    <col min="15" max="15" width="10.6640625" style="3" hidden="1" customWidth="1"/>
    <col min="16" max="16" width="8.5" style="3" customWidth="1"/>
    <col min="17" max="17" width="7" style="3" customWidth="1"/>
    <col min="18" max="18" width="5.5" style="3" customWidth="1"/>
    <col min="19" max="19" width="41.83203125" customWidth="1"/>
    <col min="20" max="20" width="10.5" customWidth="1"/>
    <col min="21" max="21" width="10.5" bestFit="1" customWidth="1"/>
    <col min="22" max="22" width="11" customWidth="1"/>
  </cols>
  <sheetData>
    <row r="1" spans="1:22" s="17" customFormat="1" x14ac:dyDescent="0.2">
      <c r="A1" s="15" t="s">
        <v>18</v>
      </c>
      <c r="B1" s="15" t="s">
        <v>200</v>
      </c>
      <c r="C1" s="15" t="s">
        <v>222</v>
      </c>
      <c r="D1" s="33" t="s">
        <v>240</v>
      </c>
      <c r="E1" s="15" t="s">
        <v>19</v>
      </c>
      <c r="F1" s="18" t="s">
        <v>210</v>
      </c>
      <c r="G1" s="18" t="s">
        <v>214</v>
      </c>
      <c r="H1" s="18" t="s">
        <v>219</v>
      </c>
      <c r="I1" s="18" t="s">
        <v>220</v>
      </c>
      <c r="J1" s="18" t="s">
        <v>224</v>
      </c>
      <c r="K1" s="18" t="s">
        <v>212</v>
      </c>
      <c r="L1" s="18" t="s">
        <v>215</v>
      </c>
      <c r="M1" s="22" t="s">
        <v>211</v>
      </c>
      <c r="N1" s="22" t="s">
        <v>213</v>
      </c>
      <c r="O1" s="22" t="s">
        <v>218</v>
      </c>
      <c r="P1" s="22" t="s">
        <v>217</v>
      </c>
      <c r="Q1" s="22" t="s">
        <v>221</v>
      </c>
      <c r="R1" s="22" t="s">
        <v>216</v>
      </c>
      <c r="U1" s="16"/>
      <c r="V1" s="16"/>
    </row>
    <row r="2" spans="1:22" x14ac:dyDescent="0.2">
      <c r="A2" s="1">
        <v>84</v>
      </c>
      <c r="B2" s="6" t="s">
        <v>202</v>
      </c>
      <c r="C2" s="11" t="s">
        <v>206</v>
      </c>
      <c r="D2" s="34" t="s">
        <v>241</v>
      </c>
      <c r="E2" s="11" t="s">
        <v>103</v>
      </c>
      <c r="F2" s="3">
        <v>236.7</v>
      </c>
      <c r="G2" s="3">
        <v>17.3</v>
      </c>
      <c r="H2" s="3">
        <v>5.4080000000000004</v>
      </c>
      <c r="I2" s="3">
        <v>1.7389999999999999</v>
      </c>
      <c r="J2" s="3">
        <v>1.9620000000000002</v>
      </c>
      <c r="K2" s="3">
        <v>0</v>
      </c>
      <c r="L2" s="3">
        <v>0</v>
      </c>
      <c r="M2" s="3">
        <v>18.576000000000001</v>
      </c>
      <c r="N2" s="3">
        <v>0</v>
      </c>
      <c r="O2" s="3">
        <v>53.03</v>
      </c>
      <c r="P2" s="3">
        <v>2330.58</v>
      </c>
      <c r="Q2" s="3">
        <v>1420.172</v>
      </c>
      <c r="R2" s="3">
        <v>24.63616</v>
      </c>
      <c r="S2" s="5"/>
      <c r="U2" s="5"/>
      <c r="V2" s="5"/>
    </row>
    <row r="3" spans="1:22" x14ac:dyDescent="0.2">
      <c r="A3" s="1">
        <v>96</v>
      </c>
      <c r="B3" s="6" t="s">
        <v>202</v>
      </c>
      <c r="C3" s="11" t="s">
        <v>206</v>
      </c>
      <c r="D3" s="34" t="s">
        <v>241</v>
      </c>
      <c r="E3" s="11" t="s">
        <v>115</v>
      </c>
      <c r="F3" s="3">
        <v>256.96499999999997</v>
      </c>
      <c r="G3" s="3">
        <v>18.1355</v>
      </c>
      <c r="H3" s="3">
        <v>12.661999999999999</v>
      </c>
      <c r="I3" s="3">
        <v>1.8898999999999999</v>
      </c>
      <c r="J3" s="3">
        <v>2.0055000000000001</v>
      </c>
      <c r="K3" s="3">
        <v>3.5090999999999997</v>
      </c>
      <c r="L3" s="3">
        <v>0.14400000000000002</v>
      </c>
      <c r="M3" s="3">
        <v>18.965400000000002</v>
      </c>
      <c r="N3" s="3">
        <v>0.2331</v>
      </c>
      <c r="O3" s="3">
        <v>74.75</v>
      </c>
      <c r="P3" s="3">
        <v>2342.9699999999998</v>
      </c>
      <c r="Q3" s="3">
        <v>1432.4974999999999</v>
      </c>
      <c r="R3" s="3">
        <v>25.102119999999999</v>
      </c>
      <c r="S3" s="5"/>
      <c r="U3" s="5"/>
      <c r="V3" s="5"/>
    </row>
    <row r="4" spans="1:22" x14ac:dyDescent="0.2">
      <c r="A4" s="1">
        <v>88</v>
      </c>
      <c r="B4" s="6" t="s">
        <v>202</v>
      </c>
      <c r="C4" s="11" t="s">
        <v>206</v>
      </c>
      <c r="D4" s="34" t="s">
        <v>241</v>
      </c>
      <c r="E4" s="11" t="s">
        <v>107</v>
      </c>
      <c r="F4" s="3">
        <v>266.60999999999996</v>
      </c>
      <c r="G4" s="3">
        <v>17.749000000000002</v>
      </c>
      <c r="H4" s="3">
        <v>14.382</v>
      </c>
      <c r="I4" s="3">
        <v>2.0477799999999995</v>
      </c>
      <c r="J4" s="3">
        <v>1.9671000000000003</v>
      </c>
      <c r="K4" s="3">
        <v>0.78299999999999992</v>
      </c>
      <c r="L4" s="3">
        <v>0.50800000000000001</v>
      </c>
      <c r="M4" s="3">
        <v>21.175000000000004</v>
      </c>
      <c r="N4" s="3">
        <v>0.77689999999999992</v>
      </c>
      <c r="O4" s="3">
        <v>98.58</v>
      </c>
      <c r="P4" s="3">
        <v>2408.02</v>
      </c>
      <c r="Q4" s="3">
        <v>1447.8290000000002</v>
      </c>
      <c r="R4" s="3">
        <v>25.282640000000001</v>
      </c>
      <c r="S4" s="5"/>
      <c r="U4" s="5"/>
      <c r="V4" s="5"/>
    </row>
    <row r="5" spans="1:22" x14ac:dyDescent="0.2">
      <c r="A5" s="1">
        <v>99</v>
      </c>
      <c r="B5" s="6" t="s">
        <v>202</v>
      </c>
      <c r="C5" s="11" t="s">
        <v>206</v>
      </c>
      <c r="D5" s="34" t="s">
        <v>241</v>
      </c>
      <c r="E5" s="11" t="s">
        <v>118</v>
      </c>
      <c r="F5" s="3">
        <v>256.96499999999997</v>
      </c>
      <c r="G5" s="3">
        <v>18.1355</v>
      </c>
      <c r="H5" s="3">
        <v>12.661999999999999</v>
      </c>
      <c r="I5" s="3">
        <v>1.8898999999999999</v>
      </c>
      <c r="J5" s="3">
        <v>2.0055000000000001</v>
      </c>
      <c r="K5" s="3">
        <v>3.5090999999999997</v>
      </c>
      <c r="L5" s="3">
        <v>0.14400000000000002</v>
      </c>
      <c r="M5" s="3">
        <v>18.965400000000002</v>
      </c>
      <c r="N5" s="3">
        <v>0.2331</v>
      </c>
      <c r="O5" s="3">
        <v>74.75</v>
      </c>
      <c r="P5" s="3">
        <v>2342.9699999999998</v>
      </c>
      <c r="Q5" s="3">
        <v>1432.4974999999999</v>
      </c>
      <c r="R5" s="3">
        <v>25.102119999999999</v>
      </c>
      <c r="S5" s="5"/>
      <c r="U5" s="5"/>
      <c r="V5" s="5"/>
    </row>
    <row r="6" spans="1:22" x14ac:dyDescent="0.2">
      <c r="A6" s="1">
        <v>100</v>
      </c>
      <c r="B6" s="6" t="s">
        <v>202</v>
      </c>
      <c r="C6" s="11" t="s">
        <v>206</v>
      </c>
      <c r="D6" s="34" t="s">
        <v>241</v>
      </c>
      <c r="E6" s="11" t="s">
        <v>119</v>
      </c>
      <c r="F6" s="3">
        <v>151.66</v>
      </c>
      <c r="G6" s="3">
        <v>21.212</v>
      </c>
      <c r="H6" s="3">
        <v>8.5129999999999981</v>
      </c>
      <c r="I6" s="3">
        <v>2.5365199999999999</v>
      </c>
      <c r="J6" s="3">
        <v>1.0473999999999999</v>
      </c>
      <c r="K6" s="3">
        <v>3.4589999999999996</v>
      </c>
      <c r="L6" s="3">
        <v>0.16800000000000001</v>
      </c>
      <c r="M6" s="3">
        <v>5.8092000000000006</v>
      </c>
      <c r="N6" s="3">
        <v>8.7400000000000005E-2</v>
      </c>
      <c r="O6" s="3">
        <v>28.698799999999999</v>
      </c>
      <c r="P6" s="3">
        <v>2343.08</v>
      </c>
      <c r="Q6" s="3">
        <v>1410.0549999999998</v>
      </c>
      <c r="R6" s="3">
        <v>29.777120000000007</v>
      </c>
      <c r="S6" s="5"/>
      <c r="U6" s="5"/>
      <c r="V6" s="5"/>
    </row>
    <row r="7" spans="1:22" x14ac:dyDescent="0.2">
      <c r="A7" s="1">
        <v>87</v>
      </c>
      <c r="B7" s="6" t="s">
        <v>202</v>
      </c>
      <c r="C7" s="11" t="s">
        <v>206</v>
      </c>
      <c r="D7" s="34" t="s">
        <v>241</v>
      </c>
      <c r="E7" s="11" t="s">
        <v>106</v>
      </c>
      <c r="F7" s="3">
        <v>261.65999999999997</v>
      </c>
      <c r="G7" s="3">
        <v>18.111000000000001</v>
      </c>
      <c r="H7" s="3">
        <v>11.151999999999999</v>
      </c>
      <c r="I7" s="3">
        <v>1.9829999999999999</v>
      </c>
      <c r="J7" s="3">
        <v>1.9620000000000002</v>
      </c>
      <c r="K7" s="3">
        <v>4.7700000000000005</v>
      </c>
      <c r="L7" s="3">
        <v>0.50600000000000001</v>
      </c>
      <c r="M7" s="3">
        <v>18.7028</v>
      </c>
      <c r="N7" s="3">
        <v>0.48219999999999996</v>
      </c>
      <c r="O7" s="3">
        <v>75.593199999999996</v>
      </c>
      <c r="P7" s="3">
        <v>2359.6999999999998</v>
      </c>
      <c r="Q7" s="3">
        <v>1436.606</v>
      </c>
      <c r="R7" s="3">
        <v>25.170863999999998</v>
      </c>
      <c r="S7" s="5"/>
      <c r="U7" s="5"/>
      <c r="V7" s="5"/>
    </row>
    <row r="8" spans="1:22" x14ac:dyDescent="0.2">
      <c r="A8" s="1">
        <v>91</v>
      </c>
      <c r="B8" s="6" t="s">
        <v>202</v>
      </c>
      <c r="C8" s="11" t="s">
        <v>206</v>
      </c>
      <c r="D8" s="34" t="s">
        <v>241</v>
      </c>
      <c r="E8" s="11" t="s">
        <v>110</v>
      </c>
      <c r="F8" s="3">
        <v>265.90800000000002</v>
      </c>
      <c r="G8" s="3">
        <v>18.3644</v>
      </c>
      <c r="H8" s="3">
        <v>14.770000000000001</v>
      </c>
      <c r="I8" s="3">
        <v>2.1102999999999996</v>
      </c>
      <c r="J8" s="3">
        <v>1.9620000000000002</v>
      </c>
      <c r="K8" s="3">
        <v>2.9547999999999996</v>
      </c>
      <c r="L8" s="3">
        <v>1.766</v>
      </c>
      <c r="M8" s="3">
        <v>19.763000000000002</v>
      </c>
      <c r="N8" s="3">
        <v>2.19</v>
      </c>
      <c r="O8" s="3">
        <v>82.05</v>
      </c>
      <c r="P8" s="3">
        <v>2352.3199999999997</v>
      </c>
      <c r="Q8" s="3">
        <v>1472.56925</v>
      </c>
      <c r="R8" s="3">
        <v>25.205036800000002</v>
      </c>
      <c r="S8" s="5"/>
      <c r="U8" s="5"/>
      <c r="V8" s="5"/>
    </row>
    <row r="9" spans="1:22" x14ac:dyDescent="0.2">
      <c r="A9" s="1">
        <v>89</v>
      </c>
      <c r="B9" s="6" t="s">
        <v>202</v>
      </c>
      <c r="C9" s="11" t="s">
        <v>206</v>
      </c>
      <c r="D9" s="34" t="s">
        <v>241</v>
      </c>
      <c r="E9" s="11" t="s">
        <v>108</v>
      </c>
      <c r="F9" s="3">
        <v>347.68999999999994</v>
      </c>
      <c r="G9" s="3">
        <v>20.329000000000004</v>
      </c>
      <c r="H9" s="3">
        <v>36.49</v>
      </c>
      <c r="I9" s="3">
        <v>3.1605000000000003</v>
      </c>
      <c r="J9" s="3">
        <v>1.9620000000000002</v>
      </c>
      <c r="K9" s="3">
        <v>19.55</v>
      </c>
      <c r="L9" s="3">
        <v>2.91</v>
      </c>
      <c r="M9" s="3">
        <v>19.968000000000004</v>
      </c>
      <c r="N9" s="3">
        <v>2.448</v>
      </c>
      <c r="O9" s="3">
        <v>116.164</v>
      </c>
      <c r="P9" s="3">
        <v>2429.1499999999996</v>
      </c>
      <c r="Q9" s="3">
        <v>1512.5767499999999</v>
      </c>
      <c r="R9" s="3">
        <v>26.395712</v>
      </c>
      <c r="S9" s="5"/>
      <c r="U9" s="5"/>
      <c r="V9" s="5"/>
    </row>
    <row r="10" spans="1:22" x14ac:dyDescent="0.2">
      <c r="A10" s="1">
        <v>101</v>
      </c>
      <c r="B10" s="6" t="s">
        <v>202</v>
      </c>
      <c r="C10" s="11" t="s">
        <v>206</v>
      </c>
      <c r="D10" s="34" t="s">
        <v>241</v>
      </c>
      <c r="E10" s="11" t="s">
        <v>120</v>
      </c>
      <c r="F10" s="3">
        <v>140.4</v>
      </c>
      <c r="G10" s="3">
        <v>20.81</v>
      </c>
      <c r="H10" s="3">
        <v>7.1449999999999996</v>
      </c>
      <c r="I10" s="3">
        <v>2.4769999999999999</v>
      </c>
      <c r="J10" s="3">
        <v>1.0439999999999998</v>
      </c>
      <c r="K10" s="3">
        <v>0.51300000000000001</v>
      </c>
      <c r="L10" s="3">
        <v>0</v>
      </c>
      <c r="M10" s="3">
        <v>6.1020000000000003</v>
      </c>
      <c r="N10" s="3">
        <v>0</v>
      </c>
      <c r="O10" s="3">
        <v>28.189999999999998</v>
      </c>
      <c r="P10" s="3">
        <v>2330.58</v>
      </c>
      <c r="Q10" s="3">
        <v>1420.172</v>
      </c>
      <c r="R10" s="3">
        <v>29.634400000000007</v>
      </c>
      <c r="S10" s="5"/>
      <c r="U10" s="5"/>
      <c r="V10" s="5"/>
    </row>
    <row r="11" spans="1:22" x14ac:dyDescent="0.2">
      <c r="A11" s="1">
        <v>93</v>
      </c>
      <c r="B11" s="6" t="s">
        <v>202</v>
      </c>
      <c r="C11" s="11" t="s">
        <v>206</v>
      </c>
      <c r="D11" s="34" t="s">
        <v>241</v>
      </c>
      <c r="E11" s="11" t="s">
        <v>112</v>
      </c>
      <c r="F11" s="3">
        <v>139.65</v>
      </c>
      <c r="G11" s="3">
        <v>19.100000000000001</v>
      </c>
      <c r="H11" s="3">
        <v>21.360000000000003</v>
      </c>
      <c r="I11" s="3">
        <v>2.1875</v>
      </c>
      <c r="J11" s="3">
        <v>0</v>
      </c>
      <c r="K11" s="3">
        <v>0.94499999999999995</v>
      </c>
      <c r="L11" s="3">
        <v>0.63500000000000001</v>
      </c>
      <c r="M11" s="3">
        <v>6.3949999999999996</v>
      </c>
      <c r="N11" s="3">
        <v>0.94</v>
      </c>
      <c r="O11" s="3">
        <v>141.75</v>
      </c>
      <c r="P11" s="3">
        <v>2398.85</v>
      </c>
      <c r="Q11" s="3">
        <v>1447.9375</v>
      </c>
      <c r="R11" s="3">
        <v>27.225280000000001</v>
      </c>
      <c r="S11" s="5"/>
      <c r="U11" s="5"/>
      <c r="V11" s="5"/>
    </row>
    <row r="12" spans="1:22" x14ac:dyDescent="0.2">
      <c r="A12" s="1">
        <v>98</v>
      </c>
      <c r="B12" s="6" t="s">
        <v>202</v>
      </c>
      <c r="C12" s="11" t="s">
        <v>206</v>
      </c>
      <c r="D12" s="34" t="s">
        <v>241</v>
      </c>
      <c r="E12" s="11" t="s">
        <v>117</v>
      </c>
      <c r="F12" s="3">
        <v>244.56499999999997</v>
      </c>
      <c r="G12" s="3">
        <v>19.996500000000001</v>
      </c>
      <c r="H12" s="3">
        <v>54.452000000000005</v>
      </c>
      <c r="I12" s="3">
        <v>1.8608999999999998</v>
      </c>
      <c r="J12" s="3">
        <v>1.2837000000000001</v>
      </c>
      <c r="K12" s="3">
        <v>4.5500999999999996</v>
      </c>
      <c r="L12" s="3">
        <v>0.70199999999999996</v>
      </c>
      <c r="M12" s="3">
        <v>16.124400000000001</v>
      </c>
      <c r="N12" s="3">
        <v>1.2700999999999998</v>
      </c>
      <c r="O12" s="3">
        <v>137.80999999999997</v>
      </c>
      <c r="P12" s="3">
        <v>1532.3399999999997</v>
      </c>
      <c r="Q12" s="3">
        <v>1077.42875</v>
      </c>
      <c r="R12" s="3">
        <v>22.087607999999999</v>
      </c>
      <c r="S12" s="5"/>
      <c r="U12" s="5"/>
      <c r="V12" s="5"/>
    </row>
    <row r="13" spans="1:22" x14ac:dyDescent="0.2">
      <c r="A13" s="1">
        <v>94</v>
      </c>
      <c r="B13" s="6" t="s">
        <v>202</v>
      </c>
      <c r="C13" s="11" t="s">
        <v>206</v>
      </c>
      <c r="D13" s="34" t="s">
        <v>241</v>
      </c>
      <c r="E13" s="11" t="s">
        <v>113</v>
      </c>
      <c r="F13" s="3">
        <v>254.85</v>
      </c>
      <c r="G13" s="3">
        <v>17.84</v>
      </c>
      <c r="H13" s="3">
        <v>15.96</v>
      </c>
      <c r="I13" s="3">
        <v>2.1244999999999998</v>
      </c>
      <c r="J13" s="3">
        <v>1.9620000000000002</v>
      </c>
      <c r="K13" s="3">
        <v>0.94499999999999995</v>
      </c>
      <c r="L13" s="3">
        <v>0.63500000000000001</v>
      </c>
      <c r="M13" s="3">
        <v>19.715</v>
      </c>
      <c r="N13" s="3">
        <v>0.94</v>
      </c>
      <c r="O13" s="3">
        <v>109.08</v>
      </c>
      <c r="P13" s="3">
        <v>2398.85</v>
      </c>
      <c r="Q13" s="3">
        <v>1447.9375</v>
      </c>
      <c r="R13" s="3">
        <v>25.431039999999999</v>
      </c>
      <c r="S13" s="5"/>
      <c r="U13" s="5"/>
      <c r="V13" s="5"/>
    </row>
    <row r="14" spans="1:22" x14ac:dyDescent="0.2">
      <c r="A14" s="1">
        <v>83</v>
      </c>
      <c r="B14" s="6" t="s">
        <v>202</v>
      </c>
      <c r="C14" s="11" t="s">
        <v>206</v>
      </c>
      <c r="D14" s="34" t="s">
        <v>241</v>
      </c>
      <c r="E14" s="11" t="s">
        <v>102</v>
      </c>
      <c r="F14" s="3">
        <v>146.17200000000003</v>
      </c>
      <c r="G14" s="3">
        <v>20.935599999999997</v>
      </c>
      <c r="H14" s="3">
        <v>11.815</v>
      </c>
      <c r="I14" s="3">
        <v>2.5221999999999998</v>
      </c>
      <c r="J14" s="3">
        <v>1.0439999999999998</v>
      </c>
      <c r="K14" s="3">
        <v>1.6052</v>
      </c>
      <c r="L14" s="3">
        <v>0.36399999999999999</v>
      </c>
      <c r="M14" s="3">
        <v>6.1669999999999998</v>
      </c>
      <c r="N14" s="3">
        <v>0.91100000000000003</v>
      </c>
      <c r="O14" s="3">
        <v>34.57</v>
      </c>
      <c r="P14" s="3">
        <v>2334.7199999999998</v>
      </c>
      <c r="Q14" s="3">
        <v>1424.0472500000001</v>
      </c>
      <c r="R14" s="3">
        <v>29.819283200000005</v>
      </c>
      <c r="S14" s="5"/>
      <c r="U14" s="5"/>
      <c r="V14" s="5"/>
    </row>
    <row r="15" spans="1:22" x14ac:dyDescent="0.2">
      <c r="A15" s="1">
        <v>177</v>
      </c>
      <c r="D15" t="s">
        <v>196</v>
      </c>
      <c r="E15" t="s">
        <v>196</v>
      </c>
      <c r="F15" s="3">
        <v>110.4</v>
      </c>
      <c r="G15" s="3">
        <v>3.2840000000000003</v>
      </c>
      <c r="H15" s="3">
        <v>12.44</v>
      </c>
      <c r="I15" s="3">
        <v>0.5</v>
      </c>
      <c r="J15" s="3">
        <v>0</v>
      </c>
      <c r="K15" s="3">
        <v>21.76</v>
      </c>
      <c r="L15" s="3">
        <v>1.536</v>
      </c>
      <c r="M15" s="3">
        <v>0.64400000000000002</v>
      </c>
      <c r="N15" s="3">
        <v>1.0960000000000001</v>
      </c>
      <c r="O15" s="3">
        <v>204.8</v>
      </c>
      <c r="P15" s="3">
        <v>35.6</v>
      </c>
      <c r="Q15" s="3">
        <v>41.24</v>
      </c>
      <c r="R15" s="3">
        <v>1.208512</v>
      </c>
      <c r="S15" s="5"/>
      <c r="U15" s="5"/>
      <c r="V15" s="5"/>
    </row>
    <row r="16" spans="1:22" x14ac:dyDescent="0.2">
      <c r="A16" s="1">
        <v>125</v>
      </c>
      <c r="B16" s="6" t="s">
        <v>202</v>
      </c>
      <c r="C16" s="13" t="s">
        <v>208</v>
      </c>
      <c r="D16" s="34" t="s">
        <v>242</v>
      </c>
      <c r="E16" s="13" t="s">
        <v>144</v>
      </c>
      <c r="F16" s="3">
        <v>240.44</v>
      </c>
      <c r="G16" s="3">
        <v>27.058</v>
      </c>
      <c r="H16" s="3">
        <v>33.192</v>
      </c>
      <c r="I16" s="3">
        <v>1.0214000000000001</v>
      </c>
      <c r="J16" s="3">
        <v>5.024</v>
      </c>
      <c r="K16" s="3">
        <v>9.3845999999999989</v>
      </c>
      <c r="L16" s="3">
        <v>0.38400000000000006</v>
      </c>
      <c r="M16" s="3">
        <v>10.692399999999999</v>
      </c>
      <c r="N16" s="3">
        <v>0.64859999999999995</v>
      </c>
      <c r="O16" s="3">
        <v>121.77999999999999</v>
      </c>
      <c r="P16" s="3">
        <v>474.12</v>
      </c>
      <c r="Q16" s="3">
        <v>833.79</v>
      </c>
      <c r="R16" s="3">
        <v>16.95664</v>
      </c>
      <c r="S16" s="5"/>
      <c r="U16" s="5"/>
      <c r="V16" s="5"/>
    </row>
    <row r="17" spans="1:22" x14ac:dyDescent="0.2">
      <c r="A17" s="1">
        <v>139</v>
      </c>
      <c r="B17" s="6" t="s">
        <v>202</v>
      </c>
      <c r="C17" s="13" t="s">
        <v>208</v>
      </c>
      <c r="D17" s="34" t="s">
        <v>242</v>
      </c>
      <c r="E17" s="13" t="s">
        <v>158</v>
      </c>
      <c r="F17" s="3">
        <v>198.33500000000001</v>
      </c>
      <c r="G17" s="3">
        <v>24.686999999999998</v>
      </c>
      <c r="H17" s="3">
        <v>15.673999999999999</v>
      </c>
      <c r="I17" s="3">
        <v>0.63109999999999999</v>
      </c>
      <c r="J17" s="3">
        <v>4.8282499999999997</v>
      </c>
      <c r="K17" s="3">
        <v>4.29115</v>
      </c>
      <c r="L17" s="3">
        <v>0.17600000000000002</v>
      </c>
      <c r="M17" s="3">
        <v>9.2288500000000013</v>
      </c>
      <c r="N17" s="3">
        <v>0.28715000000000002</v>
      </c>
      <c r="O17" s="3">
        <v>79.039999999999992</v>
      </c>
      <c r="P17" s="3">
        <v>426.89</v>
      </c>
      <c r="Q17" s="3">
        <v>792.50149999999996</v>
      </c>
      <c r="R17" s="3">
        <v>15.370879999999998</v>
      </c>
      <c r="S17" s="5"/>
      <c r="U17" s="5"/>
      <c r="V17" s="5"/>
    </row>
    <row r="18" spans="1:22" x14ac:dyDescent="0.2">
      <c r="A18" s="1">
        <v>137</v>
      </c>
      <c r="B18" s="6" t="s">
        <v>202</v>
      </c>
      <c r="C18" s="13" t="s">
        <v>208</v>
      </c>
      <c r="D18" s="34" t="s">
        <v>242</v>
      </c>
      <c r="E18" s="13" t="s">
        <v>156</v>
      </c>
      <c r="F18" s="3">
        <v>147.29500000000002</v>
      </c>
      <c r="G18" s="3">
        <v>21.057000000000002</v>
      </c>
      <c r="H18" s="3">
        <v>14.386999999999997</v>
      </c>
      <c r="I18" s="3">
        <v>0.74110000000000009</v>
      </c>
      <c r="J18" s="3">
        <v>1.5172500000000002</v>
      </c>
      <c r="K18" s="3">
        <v>4.29115</v>
      </c>
      <c r="L18" s="3">
        <v>0.39600000000000002</v>
      </c>
      <c r="M18" s="3">
        <v>5.1808500000000004</v>
      </c>
      <c r="N18" s="3">
        <v>0.28715000000000002</v>
      </c>
      <c r="O18" s="3">
        <v>99.5</v>
      </c>
      <c r="P18" s="3">
        <v>369.69</v>
      </c>
      <c r="Q18" s="3">
        <v>380.88149999999996</v>
      </c>
      <c r="R18" s="3">
        <v>13.10576</v>
      </c>
      <c r="S18" s="5"/>
      <c r="U18" s="5"/>
      <c r="V18" s="5"/>
    </row>
    <row r="19" spans="1:22" x14ac:dyDescent="0.2">
      <c r="A19" s="1">
        <v>138</v>
      </c>
      <c r="B19" s="6" t="s">
        <v>202</v>
      </c>
      <c r="C19" s="13" t="s">
        <v>208</v>
      </c>
      <c r="D19" s="34" t="s">
        <v>242</v>
      </c>
      <c r="E19" s="13" t="s">
        <v>157</v>
      </c>
      <c r="F19" s="3">
        <v>152.79500000000002</v>
      </c>
      <c r="G19" s="3">
        <v>20.507000000000001</v>
      </c>
      <c r="H19" s="3">
        <v>37.344000000000001</v>
      </c>
      <c r="I19" s="3">
        <v>1.3021</v>
      </c>
      <c r="J19" s="3">
        <v>1.1652500000000001</v>
      </c>
      <c r="K19" s="3">
        <v>4.29115</v>
      </c>
      <c r="L19" s="3">
        <v>0.17600000000000002</v>
      </c>
      <c r="M19" s="3">
        <v>6.0388500000000001</v>
      </c>
      <c r="N19" s="3">
        <v>0.28715000000000002</v>
      </c>
      <c r="O19" s="3">
        <v>136.23999999999998</v>
      </c>
      <c r="P19" s="3">
        <v>1174.8900000000001</v>
      </c>
      <c r="Q19" s="3">
        <v>380.88149999999996</v>
      </c>
      <c r="R19" s="3">
        <v>12.762559999999999</v>
      </c>
      <c r="S19" s="5"/>
      <c r="U19" s="5"/>
      <c r="V19" s="5"/>
    </row>
    <row r="20" spans="1:22" x14ac:dyDescent="0.2">
      <c r="A20" s="1">
        <v>122</v>
      </c>
      <c r="B20" s="6" t="s">
        <v>202</v>
      </c>
      <c r="C20" s="13" t="s">
        <v>208</v>
      </c>
      <c r="D20" s="34" t="s">
        <v>242</v>
      </c>
      <c r="E20" s="13" t="s">
        <v>141</v>
      </c>
      <c r="F20" s="3">
        <v>192.92</v>
      </c>
      <c r="G20" s="3">
        <v>23.648</v>
      </c>
      <c r="H20" s="3">
        <v>79.281999999999996</v>
      </c>
      <c r="I20" s="3">
        <v>0.91139999999999999</v>
      </c>
      <c r="J20" s="3">
        <v>2.0979999999999999</v>
      </c>
      <c r="K20" s="3">
        <v>9.3845999999999989</v>
      </c>
      <c r="L20" s="3">
        <v>0.38400000000000006</v>
      </c>
      <c r="M20" s="3">
        <v>6.9524000000000008</v>
      </c>
      <c r="N20" s="3">
        <v>0.64859999999999995</v>
      </c>
      <c r="O20" s="3">
        <v>192.61999999999998</v>
      </c>
      <c r="P20" s="3">
        <v>672.12000000000012</v>
      </c>
      <c r="Q20" s="3">
        <v>203.93</v>
      </c>
      <c r="R20" s="3">
        <v>14.828800000000003</v>
      </c>
      <c r="S20" s="5"/>
      <c r="U20" s="5"/>
      <c r="V20" s="5"/>
    </row>
    <row r="21" spans="1:22" x14ac:dyDescent="0.2">
      <c r="A21" s="1">
        <v>140</v>
      </c>
      <c r="B21" s="6" t="s">
        <v>202</v>
      </c>
      <c r="C21" s="13" t="s">
        <v>208</v>
      </c>
      <c r="D21" s="34" t="s">
        <v>242</v>
      </c>
      <c r="E21" s="13" t="s">
        <v>159</v>
      </c>
      <c r="F21" s="3">
        <v>147.29500000000002</v>
      </c>
      <c r="G21" s="3">
        <v>21.057000000000002</v>
      </c>
      <c r="H21" s="3">
        <v>14.386999999999997</v>
      </c>
      <c r="I21" s="3">
        <v>0.74110000000000009</v>
      </c>
      <c r="J21" s="3">
        <v>1.5172500000000002</v>
      </c>
      <c r="K21" s="3">
        <v>4.29115</v>
      </c>
      <c r="L21" s="3">
        <v>0.39600000000000002</v>
      </c>
      <c r="M21" s="3">
        <v>5.1808500000000004</v>
      </c>
      <c r="N21" s="3">
        <v>0.28715000000000002</v>
      </c>
      <c r="O21" s="3">
        <v>99.5</v>
      </c>
      <c r="P21" s="3">
        <v>369.69</v>
      </c>
      <c r="Q21" s="3">
        <v>380.88149999999996</v>
      </c>
      <c r="R21" s="3">
        <v>13.10576</v>
      </c>
      <c r="S21" s="5"/>
      <c r="U21" s="5"/>
      <c r="V21" s="5"/>
    </row>
    <row r="22" spans="1:22" x14ac:dyDescent="0.2">
      <c r="A22" s="1">
        <v>119</v>
      </c>
      <c r="B22" s="6" t="s">
        <v>202</v>
      </c>
      <c r="C22" s="13" t="s">
        <v>208</v>
      </c>
      <c r="D22" s="34" t="s">
        <v>242</v>
      </c>
      <c r="E22" s="13" t="s">
        <v>138</v>
      </c>
      <c r="F22" s="3">
        <v>163.26999999999998</v>
      </c>
      <c r="G22" s="3">
        <v>21.504750000000001</v>
      </c>
      <c r="H22" s="3">
        <v>15.529999999999998</v>
      </c>
      <c r="I22" s="3">
        <v>0.8086000000000001</v>
      </c>
      <c r="J22" s="3">
        <v>1.5172500000000002</v>
      </c>
      <c r="K22" s="3">
        <v>7.5851500000000005</v>
      </c>
      <c r="L22" s="3">
        <v>0.58500000000000008</v>
      </c>
      <c r="M22" s="3">
        <v>5.2339500000000001</v>
      </c>
      <c r="N22" s="3">
        <v>0.36680000000000001</v>
      </c>
      <c r="O22" s="3">
        <v>99.622399999999999</v>
      </c>
      <c r="P22" s="3">
        <v>372.03</v>
      </c>
      <c r="Q22" s="3">
        <v>389.20199999999994</v>
      </c>
      <c r="R22" s="3">
        <v>13.270531999999999</v>
      </c>
      <c r="S22" s="5"/>
      <c r="U22" s="5"/>
      <c r="V22" s="5"/>
    </row>
    <row r="23" spans="1:22" x14ac:dyDescent="0.2">
      <c r="A23" s="1">
        <v>132</v>
      </c>
      <c r="B23" s="6" t="s">
        <v>202</v>
      </c>
      <c r="C23" s="13" t="s">
        <v>208</v>
      </c>
      <c r="D23" s="34" t="s">
        <v>242</v>
      </c>
      <c r="E23" s="13" t="s">
        <v>151</v>
      </c>
      <c r="F23" s="3">
        <v>243.35</v>
      </c>
      <c r="G23" s="3">
        <v>21.365000000000002</v>
      </c>
      <c r="H23" s="3">
        <v>25.89</v>
      </c>
      <c r="I23" s="3">
        <v>1.8574999999999999</v>
      </c>
      <c r="J23" s="3">
        <v>1.32</v>
      </c>
      <c r="K23" s="3">
        <v>24.3</v>
      </c>
      <c r="L23" s="3">
        <v>2.9000000000000004</v>
      </c>
      <c r="M23" s="3">
        <v>5.835</v>
      </c>
      <c r="N23" s="3">
        <v>1.17</v>
      </c>
      <c r="O23" s="3">
        <v>66.11</v>
      </c>
      <c r="P23" s="3">
        <v>360.35</v>
      </c>
      <c r="Q23" s="3">
        <v>433.49749999999995</v>
      </c>
      <c r="R23" s="3">
        <v>12.419840000000001</v>
      </c>
      <c r="S23" s="5"/>
      <c r="U23" s="5"/>
      <c r="V23" s="5"/>
    </row>
    <row r="24" spans="1:22" x14ac:dyDescent="0.2">
      <c r="A24" s="1">
        <v>103</v>
      </c>
      <c r="B24" s="6" t="s">
        <v>202</v>
      </c>
      <c r="C24" s="11" t="s">
        <v>206</v>
      </c>
      <c r="D24" s="34" t="s">
        <v>244</v>
      </c>
      <c r="E24" s="11" t="s">
        <v>122</v>
      </c>
      <c r="F24" s="3">
        <v>219.03</v>
      </c>
      <c r="G24" s="3">
        <v>20.632999999999999</v>
      </c>
      <c r="H24" s="3">
        <v>29.923999999999996</v>
      </c>
      <c r="I24" s="3">
        <v>1.4336</v>
      </c>
      <c r="J24" s="3">
        <v>0.53400000000000003</v>
      </c>
      <c r="K24" s="3">
        <v>7.0343999999999989</v>
      </c>
      <c r="L24" s="3">
        <v>0.28800000000000003</v>
      </c>
      <c r="M24" s="3">
        <v>12.1686</v>
      </c>
      <c r="N24" s="3">
        <v>0.4824</v>
      </c>
      <c r="O24" s="3">
        <v>101.75</v>
      </c>
      <c r="P24" s="3">
        <v>571.86</v>
      </c>
      <c r="Q24" s="3">
        <v>664.59500000000003</v>
      </c>
      <c r="R24" s="3">
        <v>17.266287999999999</v>
      </c>
      <c r="S24" s="5"/>
      <c r="U24" s="5"/>
      <c r="V24" s="5"/>
    </row>
    <row r="25" spans="1:22" x14ac:dyDescent="0.2">
      <c r="A25" s="1">
        <v>117</v>
      </c>
      <c r="B25" s="6" t="s">
        <v>202</v>
      </c>
      <c r="C25" s="12" t="s">
        <v>207</v>
      </c>
      <c r="D25" s="34" t="s">
        <v>244</v>
      </c>
      <c r="E25" s="12" t="s">
        <v>136</v>
      </c>
      <c r="F25" s="3">
        <v>186.63</v>
      </c>
      <c r="G25" s="3">
        <v>20.452999999999999</v>
      </c>
      <c r="H25" s="3">
        <v>29.023999999999997</v>
      </c>
      <c r="I25" s="3">
        <v>1.1095999999999999</v>
      </c>
      <c r="J25" s="3">
        <v>0.52500000000000002</v>
      </c>
      <c r="K25" s="3">
        <v>7.0343999999999989</v>
      </c>
      <c r="L25" s="3">
        <v>0.28800000000000003</v>
      </c>
      <c r="M25" s="3">
        <v>8.7216000000000005</v>
      </c>
      <c r="N25" s="3">
        <v>0.4824</v>
      </c>
      <c r="O25" s="3">
        <v>123.98</v>
      </c>
      <c r="P25" s="3">
        <v>388.25999999999993</v>
      </c>
      <c r="Q25" s="3">
        <v>454.08499999999992</v>
      </c>
      <c r="R25" s="3">
        <v>13.654768000000001</v>
      </c>
      <c r="S25" s="5"/>
      <c r="U25" s="5"/>
      <c r="V25" s="5"/>
    </row>
    <row r="26" spans="1:22" x14ac:dyDescent="0.2">
      <c r="A26" s="1">
        <v>118</v>
      </c>
      <c r="B26" s="6" t="s">
        <v>202</v>
      </c>
      <c r="C26" s="12" t="s">
        <v>207</v>
      </c>
      <c r="D26" s="34" t="s">
        <v>244</v>
      </c>
      <c r="E26" s="12" t="s">
        <v>137</v>
      </c>
      <c r="F26" s="3">
        <v>151.9</v>
      </c>
      <c r="G26" s="3">
        <v>18.417999999999999</v>
      </c>
      <c r="H26" s="3">
        <v>10.923999999999999</v>
      </c>
      <c r="I26" s="3">
        <v>0.75499999999999989</v>
      </c>
      <c r="J26" s="3">
        <v>0.35100000000000003</v>
      </c>
      <c r="K26" s="3">
        <v>2.9279999999999999</v>
      </c>
      <c r="L26" s="3">
        <v>0.16800000000000001</v>
      </c>
      <c r="M26" s="3">
        <v>7.4001999999999999</v>
      </c>
      <c r="N26" s="3">
        <v>7.0800000000000002E-2</v>
      </c>
      <c r="O26" s="3">
        <v>73.208800000000011</v>
      </c>
      <c r="P26" s="3">
        <v>346.35999999999996</v>
      </c>
      <c r="Q26" s="3">
        <v>421.45799999999997</v>
      </c>
      <c r="R26" s="3">
        <v>12.271904000000001</v>
      </c>
      <c r="S26" s="5"/>
      <c r="U26" s="5"/>
      <c r="V26" s="5"/>
    </row>
    <row r="27" spans="1:22" x14ac:dyDescent="0.2">
      <c r="A27" s="1">
        <v>74</v>
      </c>
      <c r="B27" s="6" t="s">
        <v>202</v>
      </c>
      <c r="C27" s="10" t="s">
        <v>205</v>
      </c>
      <c r="D27" s="34" t="s">
        <v>245</v>
      </c>
      <c r="E27" s="10" t="s">
        <v>93</v>
      </c>
      <c r="F27" s="3">
        <v>178</v>
      </c>
      <c r="G27" s="3">
        <v>16.05</v>
      </c>
      <c r="H27" s="3">
        <v>385</v>
      </c>
      <c r="I27" s="3">
        <v>0.35</v>
      </c>
      <c r="J27" s="3">
        <v>0</v>
      </c>
      <c r="K27" s="3">
        <v>0</v>
      </c>
      <c r="L27" s="3">
        <v>0</v>
      </c>
      <c r="M27" s="3">
        <v>12.8</v>
      </c>
      <c r="N27" s="3">
        <v>0</v>
      </c>
      <c r="O27" s="3">
        <v>380</v>
      </c>
      <c r="P27" s="3">
        <v>512</v>
      </c>
      <c r="Q27" s="3">
        <v>606.95000000000005</v>
      </c>
      <c r="R27" s="3">
        <v>12.583200000000001</v>
      </c>
      <c r="S27" s="5"/>
      <c r="U27" s="5"/>
      <c r="V27" s="5"/>
    </row>
    <row r="28" spans="1:22" x14ac:dyDescent="0.2">
      <c r="A28" s="1">
        <v>75</v>
      </c>
      <c r="B28" s="6" t="s">
        <v>202</v>
      </c>
      <c r="C28" s="10" t="s">
        <v>205</v>
      </c>
      <c r="D28" s="34" t="s">
        <v>245</v>
      </c>
      <c r="E28" s="10" t="s">
        <v>94</v>
      </c>
      <c r="F28" s="3">
        <v>169</v>
      </c>
      <c r="G28" s="3">
        <v>10.9</v>
      </c>
      <c r="H28" s="3">
        <v>313</v>
      </c>
      <c r="I28" s="3">
        <v>0.13500000000000001</v>
      </c>
      <c r="J28" s="3">
        <v>0.68</v>
      </c>
      <c r="K28" s="3">
        <v>0.28000000000000003</v>
      </c>
      <c r="L28" s="3">
        <v>0</v>
      </c>
      <c r="M28" s="3">
        <v>13.7</v>
      </c>
      <c r="N28" s="3">
        <v>0.13500000000000001</v>
      </c>
      <c r="O28" s="3">
        <v>255</v>
      </c>
      <c r="P28" s="3">
        <v>432.5</v>
      </c>
      <c r="Q28" s="3">
        <v>606.95000000000005</v>
      </c>
      <c r="R28" s="3">
        <v>8.5456000000000003</v>
      </c>
      <c r="S28" s="5"/>
      <c r="U28" s="5"/>
      <c r="V28" s="5"/>
    </row>
    <row r="29" spans="1:22" x14ac:dyDescent="0.2">
      <c r="A29" s="1">
        <v>80</v>
      </c>
      <c r="B29" s="6" t="s">
        <v>202</v>
      </c>
      <c r="C29" s="10" t="s">
        <v>205</v>
      </c>
      <c r="D29" s="34" t="s">
        <v>245</v>
      </c>
      <c r="E29" s="10" t="s">
        <v>99</v>
      </c>
      <c r="F29" s="3">
        <v>218.06</v>
      </c>
      <c r="G29" s="3">
        <v>12.602</v>
      </c>
      <c r="H29" s="3">
        <v>391.27600000000001</v>
      </c>
      <c r="I29" s="3">
        <v>0.45399999999999996</v>
      </c>
      <c r="J29" s="3">
        <v>1.5959999999999999</v>
      </c>
      <c r="K29" s="3">
        <v>3.5129999999999999</v>
      </c>
      <c r="L29" s="3">
        <v>1.44</v>
      </c>
      <c r="M29" s="3">
        <v>16.698</v>
      </c>
      <c r="N29" s="3">
        <v>3.4660000000000002</v>
      </c>
      <c r="O29" s="3">
        <v>172.06399999999999</v>
      </c>
      <c r="P29" s="3">
        <v>641.08000000000004</v>
      </c>
      <c r="Q29" s="3">
        <v>721.32540000040012</v>
      </c>
      <c r="R29" s="3">
        <v>10.603744000000001</v>
      </c>
      <c r="S29" s="5"/>
      <c r="U29" s="5"/>
      <c r="V29" s="5"/>
    </row>
    <row r="30" spans="1:22" x14ac:dyDescent="0.2">
      <c r="A30" s="1">
        <v>76</v>
      </c>
      <c r="B30" s="6" t="s">
        <v>202</v>
      </c>
      <c r="C30" s="10" t="s">
        <v>205</v>
      </c>
      <c r="D30" s="34" t="s">
        <v>245</v>
      </c>
      <c r="E30" s="10" t="s">
        <v>95</v>
      </c>
      <c r="F30" s="3">
        <v>196.7</v>
      </c>
      <c r="G30" s="3">
        <v>11.27</v>
      </c>
      <c r="H30" s="3">
        <v>389.9</v>
      </c>
      <c r="I30" s="3">
        <v>7.0000000000000007E-2</v>
      </c>
      <c r="J30" s="3">
        <v>0</v>
      </c>
      <c r="K30" s="3">
        <v>1.33</v>
      </c>
      <c r="L30" s="3">
        <v>0</v>
      </c>
      <c r="M30" s="3">
        <v>16.309999999999999</v>
      </c>
      <c r="N30" s="3">
        <v>1.33</v>
      </c>
      <c r="O30" s="3">
        <v>245</v>
      </c>
      <c r="P30" s="3">
        <v>344.4</v>
      </c>
      <c r="Q30" s="3">
        <v>392</v>
      </c>
      <c r="R30" s="3">
        <v>8.8356800000000018</v>
      </c>
      <c r="S30" s="5"/>
      <c r="U30" s="5"/>
      <c r="V30" s="5"/>
    </row>
    <row r="31" spans="1:22" x14ac:dyDescent="0.2">
      <c r="A31" s="1">
        <v>77</v>
      </c>
      <c r="B31" s="6" t="s">
        <v>202</v>
      </c>
      <c r="C31" s="10" t="s">
        <v>205</v>
      </c>
      <c r="D31" s="34" t="s">
        <v>245</v>
      </c>
      <c r="E31" s="10" t="s">
        <v>96</v>
      </c>
      <c r="F31" s="3">
        <v>188.5</v>
      </c>
      <c r="G31" s="3">
        <v>12.7</v>
      </c>
      <c r="H31" s="3">
        <v>475</v>
      </c>
      <c r="I31" s="3">
        <v>0.15</v>
      </c>
      <c r="J31" s="3">
        <v>0</v>
      </c>
      <c r="K31" s="3">
        <v>0.5</v>
      </c>
      <c r="L31" s="3">
        <v>0</v>
      </c>
      <c r="M31" s="3">
        <v>15.1</v>
      </c>
      <c r="N31" s="3">
        <v>0.5</v>
      </c>
      <c r="O31" s="3">
        <v>850</v>
      </c>
      <c r="P31" s="3">
        <v>432.5</v>
      </c>
      <c r="Q31" s="3">
        <v>606.95000000000005</v>
      </c>
      <c r="R31" s="3">
        <v>9.9568000000000012</v>
      </c>
      <c r="S31" s="5"/>
      <c r="U31" s="5"/>
      <c r="V31" s="5"/>
    </row>
    <row r="32" spans="1:22" x14ac:dyDescent="0.2">
      <c r="A32" s="1">
        <v>79</v>
      </c>
      <c r="B32" s="6" t="s">
        <v>202</v>
      </c>
      <c r="C32" s="10" t="s">
        <v>205</v>
      </c>
      <c r="D32" s="34" t="s">
        <v>245</v>
      </c>
      <c r="E32" s="10" t="s">
        <v>98</v>
      </c>
      <c r="F32" s="3">
        <v>169</v>
      </c>
      <c r="G32" s="3">
        <v>9.4250000000000007</v>
      </c>
      <c r="H32" s="3">
        <v>169</v>
      </c>
      <c r="I32" s="3">
        <v>7.1500000000000008E-2</v>
      </c>
      <c r="J32" s="3">
        <v>0.29249999999999998</v>
      </c>
      <c r="K32" s="3">
        <v>0.156</v>
      </c>
      <c r="L32" s="3">
        <v>0</v>
      </c>
      <c r="M32" s="3">
        <v>14.494999999999999</v>
      </c>
      <c r="N32" s="3">
        <v>0</v>
      </c>
      <c r="O32" s="3">
        <v>128.05000000000001</v>
      </c>
      <c r="P32" s="3">
        <v>533</v>
      </c>
      <c r="Q32" s="3">
        <v>611.65</v>
      </c>
      <c r="R32" s="3">
        <v>7.3892000000000007</v>
      </c>
      <c r="S32" s="5"/>
      <c r="U32" s="5"/>
      <c r="V32" s="5"/>
    </row>
    <row r="33" spans="1:22" x14ac:dyDescent="0.2">
      <c r="A33" s="1">
        <v>78</v>
      </c>
      <c r="B33" s="6" t="s">
        <v>202</v>
      </c>
      <c r="C33" s="10" t="s">
        <v>205</v>
      </c>
      <c r="D33" s="34" t="s">
        <v>245</v>
      </c>
      <c r="E33" s="10" t="s">
        <v>97</v>
      </c>
      <c r="F33" s="3">
        <v>170</v>
      </c>
      <c r="G33" s="3">
        <v>12.8</v>
      </c>
      <c r="H33" s="3">
        <v>378</v>
      </c>
      <c r="I33" s="3">
        <v>0.26</v>
      </c>
      <c r="J33" s="3">
        <v>0.73</v>
      </c>
      <c r="K33" s="3">
        <v>0</v>
      </c>
      <c r="L33" s="3">
        <v>0</v>
      </c>
      <c r="M33" s="3">
        <v>13.3</v>
      </c>
      <c r="N33" s="3">
        <v>0</v>
      </c>
      <c r="O33" s="3">
        <v>438</v>
      </c>
      <c r="P33" s="3">
        <v>432.5</v>
      </c>
      <c r="Q33" s="3">
        <v>606.95000000000005</v>
      </c>
      <c r="R33" s="3">
        <v>10.035200000000001</v>
      </c>
      <c r="S33" s="5"/>
      <c r="U33" s="5"/>
      <c r="V33" s="5"/>
    </row>
    <row r="34" spans="1:22" x14ac:dyDescent="0.2">
      <c r="A34" s="1">
        <v>116</v>
      </c>
      <c r="B34" s="6" t="s">
        <v>202</v>
      </c>
      <c r="C34" s="12" t="s">
        <v>207</v>
      </c>
      <c r="D34" s="34" t="s">
        <v>243</v>
      </c>
      <c r="E34" s="12" t="s">
        <v>135</v>
      </c>
      <c r="F34" s="3">
        <v>137.69999999999999</v>
      </c>
      <c r="G34" s="3">
        <v>18.02</v>
      </c>
      <c r="H34" s="3">
        <v>9.9079999999999995</v>
      </c>
      <c r="I34" s="3">
        <v>0.69499999999999995</v>
      </c>
      <c r="J34" s="3">
        <v>0.35100000000000003</v>
      </c>
      <c r="K34" s="3">
        <v>0</v>
      </c>
      <c r="L34" s="3">
        <v>0</v>
      </c>
      <c r="M34" s="3">
        <v>7.3529999999999998</v>
      </c>
      <c r="N34" s="3">
        <v>0</v>
      </c>
      <c r="O34" s="3">
        <v>73.100000000000009</v>
      </c>
      <c r="P34" s="3">
        <v>344.28</v>
      </c>
      <c r="Q34" s="3">
        <v>414.06199999999995</v>
      </c>
      <c r="R34" s="3">
        <v>12.125440000000001</v>
      </c>
      <c r="S34" s="5"/>
      <c r="U34" s="5"/>
      <c r="V34" s="5"/>
    </row>
    <row r="35" spans="1:22" x14ac:dyDescent="0.2">
      <c r="A35" s="1">
        <v>111</v>
      </c>
      <c r="B35" s="6" t="s">
        <v>202</v>
      </c>
      <c r="C35" s="12" t="s">
        <v>207</v>
      </c>
      <c r="D35" s="34" t="s">
        <v>243</v>
      </c>
      <c r="E35" s="12" t="s">
        <v>130</v>
      </c>
      <c r="F35" s="3">
        <v>184.702</v>
      </c>
      <c r="G35" s="3">
        <v>18.920400000000001</v>
      </c>
      <c r="H35" s="3">
        <v>31.605999999999998</v>
      </c>
      <c r="I35" s="3">
        <v>1.18218</v>
      </c>
      <c r="J35" s="3">
        <v>0.35610000000000003</v>
      </c>
      <c r="K35" s="3">
        <v>4.6602000000000006</v>
      </c>
      <c r="L35" s="3">
        <v>0.56279999999999997</v>
      </c>
      <c r="M35" s="3">
        <v>9.9548000000000005</v>
      </c>
      <c r="N35" s="3">
        <v>0.18390000000000004</v>
      </c>
      <c r="O35" s="3">
        <v>76.665200000000013</v>
      </c>
      <c r="P35" s="3">
        <v>378.04</v>
      </c>
      <c r="Q35" s="3">
        <v>444.02899999999988</v>
      </c>
      <c r="R35" s="3">
        <v>12.777292800000001</v>
      </c>
      <c r="S35" s="5"/>
      <c r="U35" s="5"/>
      <c r="V35" s="5"/>
    </row>
    <row r="36" spans="1:22" x14ac:dyDescent="0.2">
      <c r="A36" s="1">
        <v>108</v>
      </c>
      <c r="B36" s="6" t="s">
        <v>202</v>
      </c>
      <c r="C36" s="12" t="s">
        <v>207</v>
      </c>
      <c r="D36" s="34" t="s">
        <v>243</v>
      </c>
      <c r="E36" s="12" t="s">
        <v>127</v>
      </c>
      <c r="F36" s="3">
        <v>205.5</v>
      </c>
      <c r="G36" s="3">
        <v>30.02</v>
      </c>
      <c r="H36" s="3">
        <v>16.507999999999999</v>
      </c>
      <c r="I36" s="3">
        <v>1.157</v>
      </c>
      <c r="J36" s="3">
        <v>0.58499999999999996</v>
      </c>
      <c r="K36" s="3">
        <v>0</v>
      </c>
      <c r="L36" s="3">
        <v>0</v>
      </c>
      <c r="M36" s="3">
        <v>9.5910000000000011</v>
      </c>
      <c r="N36" s="3">
        <v>0</v>
      </c>
      <c r="O36" s="3">
        <v>121.7</v>
      </c>
      <c r="P36" s="3">
        <v>565.08000000000004</v>
      </c>
      <c r="Q36" s="3">
        <v>1002.5120000000001</v>
      </c>
      <c r="R36" s="3">
        <v>20.189440000000005</v>
      </c>
      <c r="S36" s="5"/>
      <c r="U36" s="5"/>
      <c r="V36" s="5"/>
    </row>
    <row r="37" spans="1:22" x14ac:dyDescent="0.2">
      <c r="A37" s="1">
        <v>115</v>
      </c>
      <c r="B37" s="6" t="s">
        <v>202</v>
      </c>
      <c r="C37" s="12" t="s">
        <v>207</v>
      </c>
      <c r="D37" s="34" t="s">
        <v>243</v>
      </c>
      <c r="E37" s="12" t="s">
        <v>134</v>
      </c>
      <c r="F37" s="3">
        <v>139.35</v>
      </c>
      <c r="G37" s="3">
        <v>18.035</v>
      </c>
      <c r="H37" s="3">
        <v>10.790000000000001</v>
      </c>
      <c r="I37" s="3">
        <v>0.69429999999999992</v>
      </c>
      <c r="J37" s="3">
        <v>0.35950000000000004</v>
      </c>
      <c r="K37" s="3">
        <v>4.4999999999999998E-2</v>
      </c>
      <c r="L37" s="3">
        <v>0</v>
      </c>
      <c r="M37" s="3">
        <v>7.5019999999999989</v>
      </c>
      <c r="N37" s="3">
        <v>4.1499999999999995E-2</v>
      </c>
      <c r="O37" s="3">
        <v>74.150000000000006</v>
      </c>
      <c r="P37" s="3">
        <v>373.59999999999997</v>
      </c>
      <c r="Q37" s="3">
        <v>384.69499999999999</v>
      </c>
      <c r="R37" s="3">
        <v>12.123440000000002</v>
      </c>
      <c r="S37" s="5"/>
      <c r="U37" s="5"/>
      <c r="V37" s="5"/>
    </row>
    <row r="38" spans="1:22" x14ac:dyDescent="0.2">
      <c r="A38" s="1">
        <v>123</v>
      </c>
      <c r="B38" s="6" t="s">
        <v>202</v>
      </c>
      <c r="C38" s="13" t="s">
        <v>208</v>
      </c>
      <c r="D38" s="34" t="s">
        <v>248</v>
      </c>
      <c r="E38" s="13" t="s">
        <v>142</v>
      </c>
      <c r="F38" s="3">
        <v>137.42500000000001</v>
      </c>
      <c r="G38" s="3">
        <v>20.384500000000003</v>
      </c>
      <c r="H38" s="3">
        <v>9.8309999999999995</v>
      </c>
      <c r="I38" s="3">
        <v>0.63550000000000006</v>
      </c>
      <c r="J38" s="3">
        <v>1.4520000000000002</v>
      </c>
      <c r="K38" s="3">
        <v>3.5009999999999994</v>
      </c>
      <c r="L38" s="3">
        <v>0.36399999999999999</v>
      </c>
      <c r="M38" s="3">
        <v>4.7175000000000002</v>
      </c>
      <c r="N38" s="3">
        <v>0.22500000000000001</v>
      </c>
      <c r="O38" s="3">
        <v>89.92</v>
      </c>
      <c r="P38" s="3">
        <v>354.67</v>
      </c>
      <c r="Q38" s="3">
        <v>368.32149999999996</v>
      </c>
      <c r="R38" s="3">
        <v>12.620536000000001</v>
      </c>
      <c r="S38" s="5"/>
      <c r="U38" s="5"/>
      <c r="V38" s="5"/>
    </row>
    <row r="39" spans="1:22" x14ac:dyDescent="0.2">
      <c r="A39" s="1">
        <v>127</v>
      </c>
      <c r="B39" s="6" t="s">
        <v>202</v>
      </c>
      <c r="C39" s="13" t="s">
        <v>208</v>
      </c>
      <c r="D39" s="34" t="s">
        <v>248</v>
      </c>
      <c r="E39" s="13" t="s">
        <v>146</v>
      </c>
      <c r="F39" s="3">
        <v>130.51</v>
      </c>
      <c r="G39" s="3">
        <v>20.465000000000003</v>
      </c>
      <c r="H39" s="3">
        <v>15.430999999999999</v>
      </c>
      <c r="I39" s="3">
        <v>0.92600000000000005</v>
      </c>
      <c r="J39" s="3">
        <v>1.4520000000000002</v>
      </c>
      <c r="K39" s="3">
        <v>0.94499999999999995</v>
      </c>
      <c r="L39" s="3">
        <v>0.85499999999999998</v>
      </c>
      <c r="M39" s="3">
        <v>4.7630000000000008</v>
      </c>
      <c r="N39" s="3">
        <v>0.94</v>
      </c>
      <c r="O39" s="3">
        <v>127.92</v>
      </c>
      <c r="P39" s="3">
        <v>416.88</v>
      </c>
      <c r="Q39" s="3">
        <v>377.03199999999998</v>
      </c>
      <c r="R39" s="3">
        <v>13.240800000000002</v>
      </c>
      <c r="S39" s="5"/>
      <c r="U39" s="5"/>
      <c r="V39" s="5"/>
    </row>
    <row r="40" spans="1:22" x14ac:dyDescent="0.2">
      <c r="A40" s="1">
        <v>71</v>
      </c>
      <c r="B40" s="6" t="s">
        <v>202</v>
      </c>
      <c r="C40" s="9" t="s">
        <v>204</v>
      </c>
      <c r="D40" s="34" t="s">
        <v>246</v>
      </c>
      <c r="E40" s="9" t="s">
        <v>90</v>
      </c>
      <c r="F40" s="3">
        <v>106</v>
      </c>
      <c r="G40" s="3">
        <v>6.3699999999999992</v>
      </c>
      <c r="H40" s="3">
        <v>38.408000000000001</v>
      </c>
      <c r="I40" s="3">
        <v>0.94199999999999995</v>
      </c>
      <c r="J40" s="3">
        <v>0.72499999999999998</v>
      </c>
      <c r="K40" s="3">
        <v>0.13500000000000001</v>
      </c>
      <c r="L40" s="3">
        <v>0</v>
      </c>
      <c r="M40" s="3">
        <v>8.9110000000000014</v>
      </c>
      <c r="N40" s="3">
        <v>0.13500000000000001</v>
      </c>
      <c r="O40" s="3">
        <v>62.2</v>
      </c>
      <c r="P40" s="3">
        <v>173.08</v>
      </c>
      <c r="Q40" s="3">
        <v>185.762</v>
      </c>
      <c r="R40" s="3">
        <v>5.0078400000000007</v>
      </c>
      <c r="S40" s="5"/>
      <c r="U40" s="5"/>
      <c r="V40" s="5"/>
    </row>
    <row r="41" spans="1:22" x14ac:dyDescent="0.2">
      <c r="A41" s="1">
        <v>69</v>
      </c>
      <c r="B41" s="6" t="s">
        <v>202</v>
      </c>
      <c r="C41" s="9" t="s">
        <v>204</v>
      </c>
      <c r="D41" s="34" t="s">
        <v>246</v>
      </c>
      <c r="E41" s="9" t="s">
        <v>88</v>
      </c>
      <c r="F41" s="3">
        <v>118.18</v>
      </c>
      <c r="G41" s="3">
        <v>7.302999999999999</v>
      </c>
      <c r="H41" s="3">
        <v>67.807999999999993</v>
      </c>
      <c r="I41" s="3">
        <v>0.94499999999999995</v>
      </c>
      <c r="J41" s="3">
        <v>0.80420000000000003</v>
      </c>
      <c r="K41" s="3">
        <v>0.13500000000000001</v>
      </c>
      <c r="L41" s="3">
        <v>0</v>
      </c>
      <c r="M41" s="3">
        <v>9.8410000000000011</v>
      </c>
      <c r="N41" s="3">
        <v>0.13500000000000001</v>
      </c>
      <c r="O41" s="3">
        <v>81.040000000000006</v>
      </c>
      <c r="P41" s="3">
        <v>210.70000000000002</v>
      </c>
      <c r="Q41" s="3">
        <v>216.36199999999999</v>
      </c>
      <c r="R41" s="3">
        <v>5.7393120000000009</v>
      </c>
      <c r="S41" s="5"/>
      <c r="U41" s="5"/>
      <c r="V41" s="5"/>
    </row>
    <row r="42" spans="1:22" x14ac:dyDescent="0.2">
      <c r="A42" s="1">
        <v>67</v>
      </c>
      <c r="B42" s="6" t="s">
        <v>202</v>
      </c>
      <c r="C42" s="9" t="s">
        <v>204</v>
      </c>
      <c r="D42" s="34" t="s">
        <v>246</v>
      </c>
      <c r="E42" s="9" t="s">
        <v>86</v>
      </c>
      <c r="F42" s="3">
        <v>132.18</v>
      </c>
      <c r="G42" s="3">
        <v>8.6630000000000003</v>
      </c>
      <c r="H42" s="3">
        <v>99.007999999999996</v>
      </c>
      <c r="I42" s="3">
        <v>2.1049999999999995</v>
      </c>
      <c r="J42" s="3">
        <v>0.80420000000000003</v>
      </c>
      <c r="K42" s="3">
        <v>1.2949999999999999</v>
      </c>
      <c r="L42" s="3">
        <v>0.76</v>
      </c>
      <c r="M42" s="3">
        <v>10.121</v>
      </c>
      <c r="N42" s="3">
        <v>0.29500000000000004</v>
      </c>
      <c r="O42" s="3">
        <v>121.04</v>
      </c>
      <c r="P42" s="3">
        <v>224.3</v>
      </c>
      <c r="Q42" s="3">
        <v>228.042</v>
      </c>
      <c r="R42" s="3">
        <v>7.741232000000001</v>
      </c>
      <c r="S42" s="5"/>
      <c r="U42" s="5"/>
      <c r="V42" s="5"/>
    </row>
    <row r="43" spans="1:22" x14ac:dyDescent="0.2">
      <c r="A43" s="1">
        <v>70</v>
      </c>
      <c r="B43" s="6" t="s">
        <v>202</v>
      </c>
      <c r="C43" s="9" t="s">
        <v>204</v>
      </c>
      <c r="D43" s="34" t="s">
        <v>246</v>
      </c>
      <c r="E43" s="9" t="s">
        <v>89</v>
      </c>
      <c r="F43" s="3">
        <v>124.78</v>
      </c>
      <c r="G43" s="3">
        <v>7.794999999999999</v>
      </c>
      <c r="H43" s="3">
        <v>75.287999999999997</v>
      </c>
      <c r="I43" s="3">
        <v>1.0889999999999997</v>
      </c>
      <c r="J43" s="3">
        <v>0.80420000000000003</v>
      </c>
      <c r="K43" s="3">
        <v>0.85499999999999998</v>
      </c>
      <c r="L43" s="3">
        <v>0.42</v>
      </c>
      <c r="M43" s="3">
        <v>9.9450000000000003</v>
      </c>
      <c r="N43" s="3">
        <v>0.85099999999999998</v>
      </c>
      <c r="O43" s="3">
        <v>84.64</v>
      </c>
      <c r="P43" s="3">
        <v>238.70000000000002</v>
      </c>
      <c r="Q43" s="3">
        <v>229.80199999999999</v>
      </c>
      <c r="R43" s="3">
        <v>6.4635360000000004</v>
      </c>
      <c r="S43" s="5"/>
      <c r="U43" s="5"/>
      <c r="V43" s="5"/>
    </row>
    <row r="44" spans="1:22" x14ac:dyDescent="0.2">
      <c r="A44" s="1">
        <v>73</v>
      </c>
      <c r="B44" s="6" t="s">
        <v>202</v>
      </c>
      <c r="C44" s="9" t="s">
        <v>204</v>
      </c>
      <c r="D44" s="34" t="s">
        <v>246</v>
      </c>
      <c r="E44" s="9" t="s">
        <v>92</v>
      </c>
      <c r="F44" s="3">
        <v>133.30000000000001</v>
      </c>
      <c r="G44" s="3">
        <v>7.79</v>
      </c>
      <c r="H44" s="3">
        <v>50.42</v>
      </c>
      <c r="I44" s="3">
        <v>1.1308</v>
      </c>
      <c r="J44" s="3">
        <v>0.88849999999999996</v>
      </c>
      <c r="K44" s="3">
        <v>0.40700000000000003</v>
      </c>
      <c r="L44" s="3">
        <v>0</v>
      </c>
      <c r="M44" s="3">
        <v>11.193</v>
      </c>
      <c r="N44" s="3">
        <v>0.40350000000000003</v>
      </c>
      <c r="O44" s="3">
        <v>75.650000000000006</v>
      </c>
      <c r="P44" s="3">
        <v>261.64999999999998</v>
      </c>
      <c r="Q44" s="3">
        <v>201.20749999999998</v>
      </c>
      <c r="R44" s="3">
        <v>6.1073600000000017</v>
      </c>
      <c r="S44" s="5"/>
      <c r="U44" s="5"/>
      <c r="V44" s="5"/>
    </row>
    <row r="45" spans="1:22" x14ac:dyDescent="0.2">
      <c r="A45" s="1">
        <v>72</v>
      </c>
      <c r="B45" s="6" t="s">
        <v>202</v>
      </c>
      <c r="C45" s="9" t="s">
        <v>204</v>
      </c>
      <c r="D45" s="34" t="s">
        <v>246</v>
      </c>
      <c r="E45" s="9" t="s">
        <v>91</v>
      </c>
      <c r="F45" s="3">
        <v>215.8</v>
      </c>
      <c r="G45" s="3">
        <v>10.09</v>
      </c>
      <c r="H45" s="3">
        <v>101.71000000000001</v>
      </c>
      <c r="I45" s="3">
        <v>1.8574999999999999</v>
      </c>
      <c r="J45" s="3">
        <v>0.85699999999999998</v>
      </c>
      <c r="K45" s="3">
        <v>16.335000000000001</v>
      </c>
      <c r="L45" s="3">
        <v>1.8</v>
      </c>
      <c r="M45" s="3">
        <v>11.64</v>
      </c>
      <c r="N45" s="3">
        <v>0.91500000000000004</v>
      </c>
      <c r="O45" s="3">
        <v>94.09</v>
      </c>
      <c r="P45" s="3">
        <v>263.05</v>
      </c>
      <c r="Q45" s="3">
        <v>306.65749999999997</v>
      </c>
      <c r="R45" s="3">
        <v>6.9600800000000014</v>
      </c>
      <c r="S45" s="5"/>
      <c r="U45" s="5"/>
      <c r="V45" s="5"/>
    </row>
    <row r="46" spans="1:22" x14ac:dyDescent="0.2">
      <c r="A46" s="1">
        <v>68</v>
      </c>
      <c r="B46" s="6" t="s">
        <v>202</v>
      </c>
      <c r="C46" s="9" t="s">
        <v>204</v>
      </c>
      <c r="D46" s="34" t="s">
        <v>246</v>
      </c>
      <c r="E46" s="9" t="s">
        <v>87</v>
      </c>
      <c r="F46" s="3">
        <v>100.12</v>
      </c>
      <c r="G46" s="3">
        <v>6.3779999999999992</v>
      </c>
      <c r="H46" s="3">
        <v>39.112000000000002</v>
      </c>
      <c r="I46" s="3">
        <v>0.94103999999999999</v>
      </c>
      <c r="J46" s="3">
        <v>0.73180000000000001</v>
      </c>
      <c r="K46" s="3">
        <v>0.17100000000000001</v>
      </c>
      <c r="L46" s="3">
        <v>0</v>
      </c>
      <c r="M46" s="3">
        <v>8.2309999999999999</v>
      </c>
      <c r="N46" s="3">
        <v>0.16820000000000002</v>
      </c>
      <c r="O46" s="3">
        <v>63</v>
      </c>
      <c r="P46" s="3">
        <v>193.92000000000002</v>
      </c>
      <c r="Q46" s="3">
        <v>150.73599999999999</v>
      </c>
      <c r="R46" s="3">
        <v>5.0003520000000004</v>
      </c>
      <c r="S46" s="5"/>
      <c r="U46" s="5"/>
      <c r="V46" s="5"/>
    </row>
    <row r="47" spans="1:22" x14ac:dyDescent="0.2">
      <c r="A47" s="1">
        <v>135</v>
      </c>
      <c r="B47" s="6" t="s">
        <v>202</v>
      </c>
      <c r="C47" s="13" t="s">
        <v>208</v>
      </c>
      <c r="D47" s="34" t="s">
        <v>249</v>
      </c>
      <c r="E47" s="13" t="s">
        <v>154</v>
      </c>
      <c r="F47" s="3">
        <v>199.29000000000002</v>
      </c>
      <c r="G47" s="3">
        <v>19.352</v>
      </c>
      <c r="H47" s="3">
        <v>94.76</v>
      </c>
      <c r="I47" s="3">
        <v>2.786</v>
      </c>
      <c r="J47" s="3">
        <v>0.62</v>
      </c>
      <c r="K47" s="3">
        <v>5.7510000000000003</v>
      </c>
      <c r="L47" s="3">
        <v>0.24400000000000002</v>
      </c>
      <c r="M47" s="3">
        <v>11.226500000000001</v>
      </c>
      <c r="N47" s="3">
        <v>0.47</v>
      </c>
      <c r="O47" s="3">
        <v>102.3</v>
      </c>
      <c r="P47" s="3">
        <v>111.03999999999999</v>
      </c>
      <c r="Q47" s="3">
        <v>382.56449999999995</v>
      </c>
      <c r="R47" s="3">
        <v>11.932815999999999</v>
      </c>
      <c r="S47" s="5"/>
      <c r="U47" s="5"/>
      <c r="V47" s="5"/>
    </row>
    <row r="48" spans="1:22" x14ac:dyDescent="0.2">
      <c r="A48" s="1">
        <v>133</v>
      </c>
      <c r="B48" s="6" t="s">
        <v>202</v>
      </c>
      <c r="C48" s="13" t="s">
        <v>208</v>
      </c>
      <c r="D48" s="34" t="s">
        <v>249</v>
      </c>
      <c r="E48" s="13" t="s">
        <v>152</v>
      </c>
      <c r="F48" s="3">
        <v>167.45999999999998</v>
      </c>
      <c r="G48" s="3">
        <v>23.014000000000003</v>
      </c>
      <c r="H48" s="3">
        <v>63.098999999999997</v>
      </c>
      <c r="I48" s="3">
        <v>0.77210000000000001</v>
      </c>
      <c r="J48" s="3">
        <v>1.758</v>
      </c>
      <c r="K48" s="3">
        <v>3.2400000000000005E-2</v>
      </c>
      <c r="L48" s="3">
        <v>0.22</v>
      </c>
      <c r="M48" s="3">
        <v>8.3516000000000012</v>
      </c>
      <c r="N48" s="3">
        <v>3.2400000000000005E-2</v>
      </c>
      <c r="O48" s="3">
        <v>118.25</v>
      </c>
      <c r="P48" s="3">
        <v>456.25</v>
      </c>
      <c r="Q48" s="3">
        <v>459.84149999999994</v>
      </c>
      <c r="R48" s="3">
        <v>14.874576000000001</v>
      </c>
      <c r="S48" s="5"/>
      <c r="U48" s="5"/>
      <c r="V48" s="5"/>
    </row>
    <row r="49" spans="1:22" x14ac:dyDescent="0.2">
      <c r="A49" s="1">
        <v>130</v>
      </c>
      <c r="B49" s="6" t="s">
        <v>202</v>
      </c>
      <c r="C49" s="13" t="s">
        <v>208</v>
      </c>
      <c r="D49" s="34" t="s">
        <v>249</v>
      </c>
      <c r="E49" s="13" t="s">
        <v>149</v>
      </c>
      <c r="F49" s="3">
        <v>171.98</v>
      </c>
      <c r="G49" s="3">
        <v>26.445999999999998</v>
      </c>
      <c r="H49" s="3">
        <v>14.909999999999998</v>
      </c>
      <c r="I49" s="3">
        <v>0.52900000000000003</v>
      </c>
      <c r="J49" s="3">
        <v>2.145</v>
      </c>
      <c r="K49" s="3">
        <v>5.8559999999999999</v>
      </c>
      <c r="L49" s="3">
        <v>0.33600000000000002</v>
      </c>
      <c r="M49" s="3">
        <v>4.6404000000000005</v>
      </c>
      <c r="N49" s="3">
        <v>0.1416</v>
      </c>
      <c r="O49" s="3">
        <v>137.91759999999999</v>
      </c>
      <c r="P49" s="3">
        <v>1275.6400000000001</v>
      </c>
      <c r="Q49" s="3">
        <v>112.054</v>
      </c>
      <c r="R49" s="3">
        <v>16.315488000000002</v>
      </c>
      <c r="S49" s="5"/>
      <c r="U49" s="5"/>
      <c r="V49" s="5"/>
    </row>
    <row r="50" spans="1:22" x14ac:dyDescent="0.2">
      <c r="A50" s="1">
        <v>129</v>
      </c>
      <c r="B50" s="6" t="s">
        <v>202</v>
      </c>
      <c r="C50" s="13" t="s">
        <v>208</v>
      </c>
      <c r="D50" s="34" t="s">
        <v>249</v>
      </c>
      <c r="E50" s="13" t="s">
        <v>148</v>
      </c>
      <c r="F50" s="3">
        <v>112.36</v>
      </c>
      <c r="G50" s="3">
        <v>19.925000000000004</v>
      </c>
      <c r="H50" s="3">
        <v>4.8789999999999996</v>
      </c>
      <c r="I50" s="3">
        <v>0.54049999999999998</v>
      </c>
      <c r="J50" s="3">
        <v>1.4520000000000002</v>
      </c>
      <c r="K50" s="3">
        <v>0</v>
      </c>
      <c r="L50" s="3">
        <v>0.22</v>
      </c>
      <c r="M50" s="3">
        <v>3.6240000000000006</v>
      </c>
      <c r="N50" s="3">
        <v>0</v>
      </c>
      <c r="O50" s="3">
        <v>71.87</v>
      </c>
      <c r="P50" s="3">
        <v>348.61</v>
      </c>
      <c r="Q50" s="3">
        <v>349.26649999999995</v>
      </c>
      <c r="R50" s="3">
        <v>12.445920000000003</v>
      </c>
      <c r="S50" s="5"/>
      <c r="U50" s="5"/>
      <c r="V50" s="5"/>
    </row>
    <row r="51" spans="1:22" x14ac:dyDescent="0.2">
      <c r="A51" s="1">
        <v>128</v>
      </c>
      <c r="B51" s="6" t="s">
        <v>202</v>
      </c>
      <c r="C51" s="13" t="s">
        <v>208</v>
      </c>
      <c r="D51" s="34" t="s">
        <v>249</v>
      </c>
      <c r="E51" s="13" t="s">
        <v>147</v>
      </c>
      <c r="F51" s="3">
        <v>156.69</v>
      </c>
      <c r="G51" s="3">
        <v>18.881</v>
      </c>
      <c r="H51" s="3">
        <v>35.588000000000001</v>
      </c>
      <c r="I51" s="3">
        <v>1.4530000000000001</v>
      </c>
      <c r="J51" s="3">
        <v>3.4649999999999999</v>
      </c>
      <c r="K51" s="3">
        <v>6.2039999999999997</v>
      </c>
      <c r="L51" s="3">
        <v>3.5309999999999997</v>
      </c>
      <c r="M51" s="3">
        <v>5.5390000000000006</v>
      </c>
      <c r="N51" s="3">
        <v>2.5640000000000001</v>
      </c>
      <c r="O51" s="3">
        <v>365.6</v>
      </c>
      <c r="P51" s="3">
        <v>834.68000000000006</v>
      </c>
      <c r="Q51" s="3">
        <v>362.62199999999996</v>
      </c>
      <c r="R51" s="3">
        <v>11.034112</v>
      </c>
      <c r="S51" s="5"/>
      <c r="U51" s="5"/>
      <c r="V51" s="5"/>
    </row>
    <row r="52" spans="1:22" x14ac:dyDescent="0.2">
      <c r="A52" s="1">
        <v>131</v>
      </c>
      <c r="B52" s="6" t="s">
        <v>202</v>
      </c>
      <c r="C52" s="13" t="s">
        <v>208</v>
      </c>
      <c r="D52" s="34" t="s">
        <v>249</v>
      </c>
      <c r="E52" s="13" t="s">
        <v>150</v>
      </c>
      <c r="F52" s="3">
        <v>167.37</v>
      </c>
      <c r="G52" s="3">
        <v>27.871000000000002</v>
      </c>
      <c r="H52" s="3">
        <v>29.79</v>
      </c>
      <c r="I52" s="3">
        <v>0.78060000000000007</v>
      </c>
      <c r="J52" s="3">
        <v>2.319</v>
      </c>
      <c r="K52" s="3">
        <v>5.4784000000000006</v>
      </c>
      <c r="L52" s="3">
        <v>0.22400000000000003</v>
      </c>
      <c r="M52" s="3">
        <v>3.8746</v>
      </c>
      <c r="N52" s="3">
        <v>0.38239999999999996</v>
      </c>
      <c r="O52" s="3">
        <v>180.48</v>
      </c>
      <c r="P52" s="3">
        <v>1307.68</v>
      </c>
      <c r="Q52" s="3">
        <v>106.392</v>
      </c>
      <c r="R52" s="3">
        <v>17.462832000000002</v>
      </c>
      <c r="S52" s="5"/>
      <c r="U52" s="5"/>
      <c r="V52" s="5"/>
    </row>
    <row r="53" spans="1:22" x14ac:dyDescent="0.2">
      <c r="A53" s="1">
        <v>121</v>
      </c>
      <c r="B53" s="6" t="s">
        <v>202</v>
      </c>
      <c r="C53" s="13" t="s">
        <v>208</v>
      </c>
      <c r="D53" s="34" t="s">
        <v>249</v>
      </c>
      <c r="E53" s="13" t="s">
        <v>140</v>
      </c>
      <c r="F53" s="3">
        <v>140.94499999999999</v>
      </c>
      <c r="G53" s="3">
        <v>20.604499999999998</v>
      </c>
      <c r="H53" s="3">
        <v>57.208000000000006</v>
      </c>
      <c r="I53" s="3">
        <v>0.41550000000000004</v>
      </c>
      <c r="J53" s="3">
        <v>1.837</v>
      </c>
      <c r="K53" s="3">
        <v>3.5009999999999994</v>
      </c>
      <c r="L53" s="3">
        <v>0.14400000000000002</v>
      </c>
      <c r="M53" s="3">
        <v>5.025500000000001</v>
      </c>
      <c r="N53" s="3">
        <v>0.22500000000000001</v>
      </c>
      <c r="O53" s="3">
        <v>140.29999999999998</v>
      </c>
      <c r="P53" s="3">
        <v>609.87</v>
      </c>
      <c r="Q53" s="3">
        <v>150.08150000000001</v>
      </c>
      <c r="R53" s="3">
        <v>12.757816000000002</v>
      </c>
      <c r="S53" s="5"/>
      <c r="U53" s="5"/>
      <c r="V53" s="5"/>
    </row>
    <row r="54" spans="1:22" x14ac:dyDescent="0.2">
      <c r="A54" s="1">
        <v>178</v>
      </c>
      <c r="D54" t="s">
        <v>197</v>
      </c>
      <c r="E54" t="s">
        <v>197</v>
      </c>
      <c r="F54" s="3">
        <v>89.25</v>
      </c>
      <c r="G54" s="3">
        <v>1.05</v>
      </c>
      <c r="H54" s="3">
        <v>21.75</v>
      </c>
      <c r="I54" s="3">
        <v>0.27</v>
      </c>
      <c r="J54" s="3">
        <v>0</v>
      </c>
      <c r="K54" s="3">
        <v>17.399999999999999</v>
      </c>
      <c r="L54" s="3">
        <v>2.9550000000000001</v>
      </c>
      <c r="M54" s="3">
        <v>0.39</v>
      </c>
      <c r="N54" s="3">
        <v>14.835000000000001</v>
      </c>
      <c r="O54" s="3">
        <v>5.1749999999999998</v>
      </c>
      <c r="P54" s="3">
        <v>59.549174999999998</v>
      </c>
      <c r="Q54" s="3">
        <v>143.68213235294118</v>
      </c>
      <c r="R54" s="3">
        <v>1.5455999999999996</v>
      </c>
      <c r="S54" s="5"/>
      <c r="U54" s="5"/>
      <c r="V54" s="5"/>
    </row>
    <row r="55" spans="1:22" x14ac:dyDescent="0.2">
      <c r="A55" s="1">
        <v>60</v>
      </c>
      <c r="B55" s="7" t="s">
        <v>198</v>
      </c>
      <c r="D55" t="s">
        <v>266</v>
      </c>
      <c r="E55" t="s">
        <v>79</v>
      </c>
      <c r="F55" s="3">
        <v>434.90999999999991</v>
      </c>
      <c r="G55" s="3">
        <v>16.820000000000004</v>
      </c>
      <c r="H55" s="3">
        <v>96.467999999999989</v>
      </c>
      <c r="I55" s="3">
        <v>3.6610000000000005</v>
      </c>
      <c r="J55" s="3">
        <v>0.87820000000000009</v>
      </c>
      <c r="K55" s="3">
        <v>60.763999999999996</v>
      </c>
      <c r="L55" s="3">
        <v>6.2309999999999999</v>
      </c>
      <c r="M55" s="3">
        <v>11.844000000000001</v>
      </c>
      <c r="N55" s="3">
        <v>4.2930000000000001</v>
      </c>
      <c r="O55" s="3">
        <v>147.12999999999997</v>
      </c>
      <c r="P55" s="3">
        <v>1027.1000000000001</v>
      </c>
      <c r="Q55" s="3">
        <v>766.84724999999992</v>
      </c>
      <c r="R55" s="3">
        <v>14.156207999999999</v>
      </c>
      <c r="S55" s="5"/>
      <c r="U55" s="5"/>
      <c r="V55" s="5"/>
    </row>
    <row r="56" spans="1:22" x14ac:dyDescent="0.2">
      <c r="A56" s="1">
        <v>51</v>
      </c>
      <c r="B56" s="7" t="s">
        <v>198</v>
      </c>
      <c r="D56" t="s">
        <v>266</v>
      </c>
      <c r="E56" t="s">
        <v>70</v>
      </c>
      <c r="F56" s="3">
        <v>359.47</v>
      </c>
      <c r="G56" s="3">
        <v>15.157</v>
      </c>
      <c r="H56" s="3">
        <v>278.68999999999994</v>
      </c>
      <c r="I56" s="3">
        <v>0.89060000000000006</v>
      </c>
      <c r="J56" s="3">
        <v>1.2267999999999999</v>
      </c>
      <c r="K56" s="3">
        <v>43.429000000000002</v>
      </c>
      <c r="L56" s="3">
        <v>1.6850000000000001</v>
      </c>
      <c r="M56" s="3">
        <v>13.335999999999999</v>
      </c>
      <c r="N56" s="3">
        <v>8.032</v>
      </c>
      <c r="O56" s="3">
        <v>136.66</v>
      </c>
      <c r="P56" s="3">
        <v>456.58</v>
      </c>
      <c r="Q56" s="3">
        <v>460.755</v>
      </c>
      <c r="R56" s="3">
        <v>9.6158880000000018</v>
      </c>
      <c r="S56" s="5"/>
      <c r="U56" s="5"/>
      <c r="V56" s="5"/>
    </row>
    <row r="57" spans="1:22" x14ac:dyDescent="0.2">
      <c r="A57" s="1">
        <v>161</v>
      </c>
      <c r="B57" s="8" t="s">
        <v>203</v>
      </c>
      <c r="C57" s="14" t="s">
        <v>209</v>
      </c>
      <c r="D57" s="34" t="s">
        <v>257</v>
      </c>
      <c r="E57" s="14" t="s">
        <v>186</v>
      </c>
      <c r="F57" s="3">
        <v>96.53</v>
      </c>
      <c r="G57" s="3">
        <v>2.4499999999999997</v>
      </c>
      <c r="H57" s="3">
        <v>78.41</v>
      </c>
      <c r="I57" s="3">
        <v>0.36749999999999999</v>
      </c>
      <c r="J57" s="3">
        <v>5.28E-2</v>
      </c>
      <c r="K57" s="3">
        <v>6.2789999999999999</v>
      </c>
      <c r="L57" s="3">
        <v>3.996</v>
      </c>
      <c r="M57" s="3">
        <v>6.4279999999999999</v>
      </c>
      <c r="N57" s="3">
        <v>3.4499999999999997</v>
      </c>
      <c r="O57" s="3">
        <v>57.81</v>
      </c>
      <c r="P57" s="3">
        <v>115.28999999999999</v>
      </c>
      <c r="Q57" s="3">
        <v>124.8205</v>
      </c>
      <c r="R57" s="3">
        <v>2.8439519999999998</v>
      </c>
      <c r="S57" s="5"/>
      <c r="U57" s="5"/>
      <c r="V57" s="5"/>
    </row>
    <row r="58" spans="1:22" x14ac:dyDescent="0.2">
      <c r="A58" s="1">
        <v>159</v>
      </c>
      <c r="B58" s="8" t="s">
        <v>203</v>
      </c>
      <c r="C58" s="14" t="s">
        <v>209</v>
      </c>
      <c r="D58" s="34" t="s">
        <v>257</v>
      </c>
      <c r="E58" s="14" t="s">
        <v>183</v>
      </c>
      <c r="F58" s="3">
        <v>134.63999999999999</v>
      </c>
      <c r="G58" s="3">
        <v>2.3298000000000001</v>
      </c>
      <c r="H58" s="3">
        <v>20.330000000000002</v>
      </c>
      <c r="I58" s="3">
        <v>0.65249999999999997</v>
      </c>
      <c r="J58" s="3">
        <v>5.1000000000000004E-4</v>
      </c>
      <c r="K58" s="3">
        <v>13.011000000000001</v>
      </c>
      <c r="L58" s="3">
        <v>5.4939999999999998</v>
      </c>
      <c r="M58" s="3">
        <v>7.5258000000000003</v>
      </c>
      <c r="N58" s="3">
        <v>7.4634</v>
      </c>
      <c r="O58" s="3">
        <v>237.67000000000002</v>
      </c>
      <c r="P58" s="3">
        <v>125.53999999999999</v>
      </c>
      <c r="Q58" s="3">
        <v>164.9435</v>
      </c>
      <c r="R58" s="3">
        <v>2.8719455999999997</v>
      </c>
      <c r="S58" s="5"/>
      <c r="U58" s="5"/>
      <c r="V58" s="5"/>
    </row>
    <row r="59" spans="1:22" x14ac:dyDescent="0.2">
      <c r="A59" s="1">
        <v>164</v>
      </c>
      <c r="B59" s="8" t="s">
        <v>203</v>
      </c>
      <c r="C59" s="14" t="s">
        <v>209</v>
      </c>
      <c r="D59" s="34" t="s">
        <v>257</v>
      </c>
      <c r="E59" s="14" t="s">
        <v>190</v>
      </c>
      <c r="F59" s="3">
        <v>83.53</v>
      </c>
      <c r="G59" s="3">
        <v>2.9020000000000001</v>
      </c>
      <c r="H59" s="3">
        <v>52.483999999999995</v>
      </c>
      <c r="I59" s="3">
        <v>0.45178000000000001</v>
      </c>
      <c r="J59" s="3">
        <v>8.4299999999999986E-2</v>
      </c>
      <c r="K59" s="3">
        <v>7.5510000000000002</v>
      </c>
      <c r="L59" s="3">
        <v>3.5210000000000004</v>
      </c>
      <c r="M59" s="3">
        <v>4.0600000000000005</v>
      </c>
      <c r="N59" s="3">
        <v>4.7699000000000007</v>
      </c>
      <c r="O59" s="3">
        <v>40.090000000000003</v>
      </c>
      <c r="P59" s="3">
        <v>141.92000000000002</v>
      </c>
      <c r="Q59" s="3">
        <v>104.52000000000002</v>
      </c>
      <c r="R59" s="3">
        <v>3.2808799999999998</v>
      </c>
      <c r="S59" s="5"/>
      <c r="U59" s="5"/>
      <c r="V59" s="5"/>
    </row>
    <row r="60" spans="1:22" x14ac:dyDescent="0.2">
      <c r="A60" s="1">
        <v>153</v>
      </c>
      <c r="B60" s="8" t="s">
        <v>203</v>
      </c>
      <c r="C60" s="14" t="s">
        <v>209</v>
      </c>
      <c r="D60" s="34" t="s">
        <v>257</v>
      </c>
      <c r="E60" s="14" t="s">
        <v>177</v>
      </c>
      <c r="F60" s="3">
        <v>84.03</v>
      </c>
      <c r="G60" s="3">
        <v>2.274</v>
      </c>
      <c r="H60" s="3">
        <v>32.46</v>
      </c>
      <c r="I60" s="3">
        <v>0.62649999999999995</v>
      </c>
      <c r="J60" s="3">
        <v>0</v>
      </c>
      <c r="K60" s="3">
        <v>5.8120000000000003</v>
      </c>
      <c r="L60" s="3">
        <v>1.7029999999999998</v>
      </c>
      <c r="M60" s="3">
        <v>5.4690000000000003</v>
      </c>
      <c r="N60" s="3">
        <v>2.8850000000000002</v>
      </c>
      <c r="O60" s="3">
        <v>29.75</v>
      </c>
      <c r="P60" s="3">
        <v>123.83000000000001</v>
      </c>
      <c r="Q60" s="3">
        <v>126.6015</v>
      </c>
      <c r="R60" s="3">
        <v>2.9013119999999999</v>
      </c>
      <c r="S60" s="5"/>
      <c r="U60" s="5"/>
      <c r="V60" s="5"/>
    </row>
    <row r="61" spans="1:22" x14ac:dyDescent="0.2">
      <c r="A61" s="1">
        <v>120</v>
      </c>
      <c r="B61" s="6" t="s">
        <v>202</v>
      </c>
      <c r="C61" s="13" t="s">
        <v>208</v>
      </c>
      <c r="D61" s="34" t="s">
        <v>251</v>
      </c>
      <c r="E61" s="13" t="s">
        <v>139</v>
      </c>
      <c r="F61" s="3">
        <v>168.77</v>
      </c>
      <c r="G61" s="3">
        <v>20.954750000000001</v>
      </c>
      <c r="H61" s="3">
        <v>38.487000000000002</v>
      </c>
      <c r="I61" s="3">
        <v>1.3695999999999999</v>
      </c>
      <c r="J61" s="3">
        <v>1.1652500000000001</v>
      </c>
      <c r="K61" s="3">
        <v>7.5851500000000005</v>
      </c>
      <c r="L61" s="3">
        <v>0.36500000000000005</v>
      </c>
      <c r="M61" s="3">
        <v>6.0919500000000006</v>
      </c>
      <c r="N61" s="3">
        <v>0.36680000000000001</v>
      </c>
      <c r="O61" s="3">
        <v>136.36239999999998</v>
      </c>
      <c r="P61" s="3">
        <v>1177.23</v>
      </c>
      <c r="Q61" s="3">
        <v>389.20199999999994</v>
      </c>
      <c r="R61" s="3">
        <v>12.927331999999998</v>
      </c>
      <c r="S61" s="5"/>
      <c r="U61" s="5"/>
      <c r="V61" s="5"/>
    </row>
    <row r="62" spans="1:22" x14ac:dyDescent="0.2">
      <c r="A62" s="1">
        <v>124</v>
      </c>
      <c r="B62" s="6" t="s">
        <v>202</v>
      </c>
      <c r="C62" s="13" t="s">
        <v>208</v>
      </c>
      <c r="D62" s="34" t="s">
        <v>251</v>
      </c>
      <c r="E62" s="13" t="s">
        <v>143</v>
      </c>
      <c r="F62" s="3">
        <v>142.92500000000001</v>
      </c>
      <c r="G62" s="3">
        <v>19.834500000000002</v>
      </c>
      <c r="H62" s="3">
        <v>32.788000000000004</v>
      </c>
      <c r="I62" s="3">
        <v>1.1965000000000001</v>
      </c>
      <c r="J62" s="3">
        <v>1.1000000000000001</v>
      </c>
      <c r="K62" s="3">
        <v>3.5009999999999994</v>
      </c>
      <c r="L62" s="3">
        <v>0.14400000000000002</v>
      </c>
      <c r="M62" s="3">
        <v>5.5755000000000008</v>
      </c>
      <c r="N62" s="3">
        <v>0.22500000000000001</v>
      </c>
      <c r="O62" s="3">
        <v>126.66</v>
      </c>
      <c r="P62" s="3">
        <v>1159.8699999999999</v>
      </c>
      <c r="Q62" s="3">
        <v>368.32149999999996</v>
      </c>
      <c r="R62" s="3">
        <v>12.277336</v>
      </c>
      <c r="S62" s="5"/>
      <c r="U62" s="5"/>
      <c r="V62" s="5"/>
    </row>
    <row r="63" spans="1:22" x14ac:dyDescent="0.2">
      <c r="A63" s="1">
        <v>126</v>
      </c>
      <c r="B63" s="6" t="s">
        <v>202</v>
      </c>
      <c r="C63" s="13" t="s">
        <v>208</v>
      </c>
      <c r="D63" s="34" t="s">
        <v>251</v>
      </c>
      <c r="E63" s="13" t="s">
        <v>145</v>
      </c>
      <c r="F63" s="3">
        <v>136.01</v>
      </c>
      <c r="G63" s="3">
        <v>19.915000000000003</v>
      </c>
      <c r="H63" s="3">
        <v>38.387999999999998</v>
      </c>
      <c r="I63" s="3">
        <v>1.4870000000000001</v>
      </c>
      <c r="J63" s="3">
        <v>1.1000000000000001</v>
      </c>
      <c r="K63" s="3">
        <v>0.94499999999999995</v>
      </c>
      <c r="L63" s="3">
        <v>0.63500000000000001</v>
      </c>
      <c r="M63" s="3">
        <v>5.6210000000000004</v>
      </c>
      <c r="N63" s="3">
        <v>0.94</v>
      </c>
      <c r="O63" s="3">
        <v>164.65999999999997</v>
      </c>
      <c r="P63" s="3">
        <v>1222.08</v>
      </c>
      <c r="Q63" s="3">
        <v>377.03199999999998</v>
      </c>
      <c r="R63" s="3">
        <v>12.897600000000001</v>
      </c>
      <c r="S63" s="5"/>
      <c r="U63" s="5"/>
      <c r="V63" s="5"/>
    </row>
    <row r="64" spans="1:22" x14ac:dyDescent="0.2">
      <c r="A64" s="1">
        <v>82</v>
      </c>
      <c r="B64" s="6" t="s">
        <v>202</v>
      </c>
      <c r="C64" s="11" t="s">
        <v>206</v>
      </c>
      <c r="D64" s="34" t="s">
        <v>255</v>
      </c>
      <c r="E64" s="11" t="s">
        <v>101</v>
      </c>
      <c r="F64" s="3">
        <v>281.7</v>
      </c>
      <c r="G64" s="3">
        <v>14.69</v>
      </c>
      <c r="H64" s="3">
        <v>8.9809999999999999</v>
      </c>
      <c r="I64" s="3">
        <v>1.2080000000000002</v>
      </c>
      <c r="J64" s="3">
        <v>1.3680000000000001</v>
      </c>
      <c r="K64" s="3">
        <v>0.82799999999999996</v>
      </c>
      <c r="L64" s="3">
        <v>0</v>
      </c>
      <c r="M64" s="3">
        <v>24.336000000000006</v>
      </c>
      <c r="N64" s="3">
        <v>5.67E-2</v>
      </c>
      <c r="O64" s="3">
        <v>67.430000000000007</v>
      </c>
      <c r="P64" s="3">
        <v>2283.7799999999997</v>
      </c>
      <c r="Q64" s="3">
        <v>994.74200000000008</v>
      </c>
      <c r="R64" s="3">
        <v>20.919520000000002</v>
      </c>
      <c r="S64" s="5"/>
      <c r="U64" s="5"/>
      <c r="V64" s="5"/>
    </row>
    <row r="65" spans="1:22" x14ac:dyDescent="0.2">
      <c r="A65" s="1">
        <v>81</v>
      </c>
      <c r="B65" s="6" t="s">
        <v>202</v>
      </c>
      <c r="C65" s="11" t="s">
        <v>206</v>
      </c>
      <c r="D65" s="34" t="s">
        <v>255</v>
      </c>
      <c r="E65" s="11" t="s">
        <v>100</v>
      </c>
      <c r="F65" s="3">
        <v>447.45</v>
      </c>
      <c r="G65" s="3">
        <v>17.955000000000002</v>
      </c>
      <c r="H65" s="3">
        <v>30.441000000000003</v>
      </c>
      <c r="I65" s="3">
        <v>2.5755000000000003</v>
      </c>
      <c r="J65" s="3">
        <v>1.3680000000000001</v>
      </c>
      <c r="K65" s="3">
        <v>25.128</v>
      </c>
      <c r="L65" s="3">
        <v>2.7</v>
      </c>
      <c r="M65" s="3">
        <v>29.601000000000003</v>
      </c>
      <c r="N65" s="3">
        <v>1.2266999999999999</v>
      </c>
      <c r="O65" s="3">
        <v>68.34</v>
      </c>
      <c r="P65" s="3">
        <v>2336.1299999999997</v>
      </c>
      <c r="Q65" s="3">
        <v>1150.0395000000001</v>
      </c>
      <c r="R65" s="3">
        <v>22.044960000000003</v>
      </c>
      <c r="S65" s="5"/>
      <c r="U65" s="5"/>
      <c r="V65" s="5"/>
    </row>
    <row r="66" spans="1:22" x14ac:dyDescent="0.2">
      <c r="A66" s="1">
        <v>53</v>
      </c>
      <c r="B66" s="7" t="s">
        <v>198</v>
      </c>
      <c r="D66" t="s">
        <v>72</v>
      </c>
      <c r="E66" t="s">
        <v>72</v>
      </c>
      <c r="F66" s="3">
        <v>454.60199999999998</v>
      </c>
      <c r="G66" s="3">
        <v>19.412600000000001</v>
      </c>
      <c r="H66" s="3">
        <v>236.91799999999998</v>
      </c>
      <c r="I66" s="3">
        <v>2.3395000000000001</v>
      </c>
      <c r="J66" s="3">
        <v>1.3375000000000001</v>
      </c>
      <c r="K66" s="3">
        <v>49.337199999999996</v>
      </c>
      <c r="L66" s="3">
        <v>3.3449999999999998</v>
      </c>
      <c r="M66" s="3">
        <v>18.835999999999999</v>
      </c>
      <c r="N66" s="3">
        <v>6.1289999999999996</v>
      </c>
      <c r="O66" s="3">
        <v>216.55599999999998</v>
      </c>
      <c r="P66" s="3">
        <v>1120.2200000000003</v>
      </c>
      <c r="Q66" s="3">
        <v>804.39524999999992</v>
      </c>
      <c r="R66" s="3">
        <v>15.987147200000001</v>
      </c>
      <c r="S66" s="5"/>
      <c r="U66" s="5"/>
      <c r="V66" s="5"/>
    </row>
    <row r="67" spans="1:22" x14ac:dyDescent="0.2">
      <c r="A67" s="1">
        <v>2</v>
      </c>
      <c r="B67" s="7" t="s">
        <v>198</v>
      </c>
      <c r="D67" s="34" t="s">
        <v>259</v>
      </c>
      <c r="E67" t="s">
        <v>21</v>
      </c>
      <c r="F67" s="3">
        <v>244.64200000000002</v>
      </c>
      <c r="G67" s="3">
        <v>10.907099999999998</v>
      </c>
      <c r="H67" s="3">
        <v>52.718000000000004</v>
      </c>
      <c r="I67" s="3">
        <v>3.2932000000000001</v>
      </c>
      <c r="J67" s="3">
        <v>0</v>
      </c>
      <c r="K67" s="3">
        <v>35.911699999999996</v>
      </c>
      <c r="L67" s="3">
        <v>6.7159999999999993</v>
      </c>
      <c r="M67" s="3">
        <v>5.0990000000000002</v>
      </c>
      <c r="N67" s="3">
        <v>2.383</v>
      </c>
      <c r="O67" s="3">
        <v>19.934000000000001</v>
      </c>
      <c r="P67" s="3">
        <v>80.61999999999999</v>
      </c>
      <c r="Q67" s="3">
        <v>265.62524999999994</v>
      </c>
      <c r="R67" s="3">
        <v>3.3524351999999999</v>
      </c>
      <c r="S67" s="5"/>
      <c r="U67" s="5"/>
      <c r="V67" s="5"/>
    </row>
    <row r="68" spans="1:22" x14ac:dyDescent="0.2">
      <c r="A68" s="1">
        <v>1</v>
      </c>
      <c r="B68" s="7" t="s">
        <v>198</v>
      </c>
      <c r="D68" s="34" t="s">
        <v>259</v>
      </c>
      <c r="E68" t="s">
        <v>20</v>
      </c>
      <c r="F68" s="3">
        <v>253.34200000000001</v>
      </c>
      <c r="G68" s="3">
        <v>10.157099999999998</v>
      </c>
      <c r="H68" s="3">
        <v>55.718000000000004</v>
      </c>
      <c r="I68" s="3">
        <v>2.5731999999999999</v>
      </c>
      <c r="J68" s="3">
        <v>0</v>
      </c>
      <c r="K68" s="3">
        <v>36.331699999999998</v>
      </c>
      <c r="L68" s="3">
        <v>5.5159999999999991</v>
      </c>
      <c r="M68" s="3">
        <v>6.5090000000000003</v>
      </c>
      <c r="N68" s="3">
        <v>2.6229999999999998</v>
      </c>
      <c r="O68" s="3">
        <v>20.233999999999998</v>
      </c>
      <c r="P68" s="3">
        <v>90.820000000000007</v>
      </c>
      <c r="Q68" s="3">
        <v>239.34524999999996</v>
      </c>
      <c r="R68" s="3">
        <v>3.1724352000000002</v>
      </c>
      <c r="S68" s="5"/>
      <c r="U68" s="5"/>
      <c r="V68" s="5"/>
    </row>
    <row r="69" spans="1:22" x14ac:dyDescent="0.2">
      <c r="A69" s="1">
        <v>3</v>
      </c>
      <c r="B69" s="7" t="s">
        <v>198</v>
      </c>
      <c r="D69" s="34" t="s">
        <v>259</v>
      </c>
      <c r="E69" t="s">
        <v>22</v>
      </c>
      <c r="F69" s="3">
        <v>246.14200000000002</v>
      </c>
      <c r="G69" s="3">
        <v>10.697099999999999</v>
      </c>
      <c r="H69" s="3">
        <v>30.218</v>
      </c>
      <c r="I69" s="3">
        <v>3.0531999999999999</v>
      </c>
      <c r="J69" s="3">
        <v>0</v>
      </c>
      <c r="K69" s="3">
        <v>37.591699999999996</v>
      </c>
      <c r="L69" s="3">
        <v>5.5759999999999987</v>
      </c>
      <c r="M69" s="3">
        <v>4.9190000000000005</v>
      </c>
      <c r="N69" s="3">
        <v>2.0530000000000004</v>
      </c>
      <c r="O69" s="3">
        <v>20.834</v>
      </c>
      <c r="P69" s="3">
        <v>98.61999999999999</v>
      </c>
      <c r="Q69" s="3">
        <v>290.25524999999993</v>
      </c>
      <c r="R69" s="3">
        <v>3.3020352000000002</v>
      </c>
      <c r="S69" s="5"/>
      <c r="U69" s="5"/>
      <c r="V69" s="5"/>
    </row>
    <row r="70" spans="1:22" x14ac:dyDescent="0.2">
      <c r="A70" s="1">
        <v>92</v>
      </c>
      <c r="B70" s="6" t="s">
        <v>202</v>
      </c>
      <c r="C70" s="11" t="s">
        <v>206</v>
      </c>
      <c r="D70" s="34" t="s">
        <v>253</v>
      </c>
      <c r="E70" s="11" t="s">
        <v>111</v>
      </c>
      <c r="F70" s="3">
        <v>307.34999999999997</v>
      </c>
      <c r="G70" s="3">
        <v>20.374000000000002</v>
      </c>
      <c r="H70" s="3">
        <v>36.175999999999995</v>
      </c>
      <c r="I70" s="3">
        <v>2.5600999999999998</v>
      </c>
      <c r="J70" s="3">
        <v>2.1360000000000001</v>
      </c>
      <c r="K70" s="3">
        <v>8.7574000000000005</v>
      </c>
      <c r="L70" s="3">
        <v>0.95500000000000007</v>
      </c>
      <c r="M70" s="3">
        <v>21.104600000000001</v>
      </c>
      <c r="N70" s="3">
        <v>1.4723999999999999</v>
      </c>
      <c r="O70" s="3">
        <v>163.95999999999998</v>
      </c>
      <c r="P70" s="3">
        <v>2443.4499999999998</v>
      </c>
      <c r="Q70" s="3">
        <v>1488.9914999999999</v>
      </c>
      <c r="R70" s="3">
        <v>26.997536</v>
      </c>
      <c r="S70" s="5"/>
      <c r="U70" s="5"/>
      <c r="V70" s="5"/>
    </row>
    <row r="71" spans="1:22" x14ac:dyDescent="0.2">
      <c r="A71" s="1">
        <v>90</v>
      </c>
      <c r="B71" s="6" t="s">
        <v>202</v>
      </c>
      <c r="C71" s="11" t="s">
        <v>206</v>
      </c>
      <c r="D71" s="34" t="s">
        <v>253</v>
      </c>
      <c r="E71" s="11" t="s">
        <v>109</v>
      </c>
      <c r="F71" s="3">
        <v>292.65999999999997</v>
      </c>
      <c r="G71" s="3">
        <v>20.4345</v>
      </c>
      <c r="H71" s="3">
        <v>56.649000000000008</v>
      </c>
      <c r="I71" s="3">
        <v>2.7936000000000001</v>
      </c>
      <c r="J71" s="3">
        <v>2.1605000000000003</v>
      </c>
      <c r="K71" s="3">
        <v>7.3264000000000005</v>
      </c>
      <c r="L71" s="3">
        <v>1.0035000000000001</v>
      </c>
      <c r="M71" s="3">
        <v>20.066099999999999</v>
      </c>
      <c r="N71" s="3">
        <v>1.2439</v>
      </c>
      <c r="O71" s="3">
        <v>135.49999999999997</v>
      </c>
      <c r="P71" s="3">
        <v>2416.9900000000002</v>
      </c>
      <c r="Q71" s="3">
        <v>1474.5114999999998</v>
      </c>
      <c r="R71" s="3">
        <v>27.196767999999999</v>
      </c>
      <c r="S71" s="5"/>
      <c r="U71" s="5"/>
      <c r="V71" s="5"/>
    </row>
    <row r="72" spans="1:22" x14ac:dyDescent="0.2">
      <c r="A72" s="1">
        <v>97</v>
      </c>
      <c r="B72" s="6" t="s">
        <v>202</v>
      </c>
      <c r="C72" s="11" t="s">
        <v>206</v>
      </c>
      <c r="D72" s="34" t="s">
        <v>253</v>
      </c>
      <c r="E72" s="11" t="s">
        <v>116</v>
      </c>
      <c r="F72" s="3">
        <v>263.85500000000002</v>
      </c>
      <c r="G72" s="3">
        <v>18.506500000000003</v>
      </c>
      <c r="H72" s="3">
        <v>20.242000000000001</v>
      </c>
      <c r="I72" s="3">
        <v>2.1408999999999998</v>
      </c>
      <c r="J72" s="3">
        <v>2.0055000000000001</v>
      </c>
      <c r="K72" s="3">
        <v>4.3610999999999995</v>
      </c>
      <c r="L72" s="3">
        <v>0.57500000000000007</v>
      </c>
      <c r="M72" s="3">
        <v>19.054400000000001</v>
      </c>
      <c r="N72" s="3">
        <v>1.0820999999999998</v>
      </c>
      <c r="O72" s="3">
        <v>108.85000000000001</v>
      </c>
      <c r="P72" s="3">
        <v>2383.0699999999997</v>
      </c>
      <c r="Q72" s="3">
        <v>1441.95875</v>
      </c>
      <c r="R72" s="3">
        <v>25.648231999999997</v>
      </c>
      <c r="S72" s="5"/>
      <c r="U72" s="5"/>
      <c r="V72" s="5"/>
    </row>
    <row r="73" spans="1:22" x14ac:dyDescent="0.2">
      <c r="A73" s="1">
        <v>49</v>
      </c>
      <c r="B73" s="7" t="s">
        <v>198</v>
      </c>
      <c r="D73" t="s">
        <v>265</v>
      </c>
      <c r="E73" t="s">
        <v>68</v>
      </c>
      <c r="F73" s="3">
        <v>321.24999999999994</v>
      </c>
      <c r="G73" s="3">
        <v>11.121500000000001</v>
      </c>
      <c r="H73" s="3">
        <v>102.41</v>
      </c>
      <c r="I73" s="3">
        <v>1.1402999999999999</v>
      </c>
      <c r="J73" s="3">
        <v>0.28749999999999998</v>
      </c>
      <c r="K73" s="3">
        <v>51.262</v>
      </c>
      <c r="L73" s="3">
        <v>2.31</v>
      </c>
      <c r="M73" s="3">
        <v>7.0639999999999992</v>
      </c>
      <c r="N73" s="3">
        <v>3.093</v>
      </c>
      <c r="O73" s="3">
        <v>52.186</v>
      </c>
      <c r="P73" s="3">
        <v>231.7</v>
      </c>
      <c r="Q73" s="3">
        <v>231.95</v>
      </c>
      <c r="R73" s="3">
        <v>5.1634960000000003</v>
      </c>
      <c r="S73" s="5"/>
      <c r="U73" s="5"/>
      <c r="V73" s="5"/>
    </row>
    <row r="74" spans="1:22" x14ac:dyDescent="0.2">
      <c r="A74" s="1">
        <v>4</v>
      </c>
      <c r="B74" s="7" t="s">
        <v>198</v>
      </c>
      <c r="D74" t="s">
        <v>265</v>
      </c>
      <c r="E74" t="s">
        <v>23</v>
      </c>
      <c r="F74" s="3">
        <v>199.42999999999998</v>
      </c>
      <c r="G74" s="3">
        <v>6.6519999999999992</v>
      </c>
      <c r="H74" s="3">
        <v>87.537999999999997</v>
      </c>
      <c r="I74" s="3">
        <v>1.2419999999999998</v>
      </c>
      <c r="J74" s="3">
        <v>0.13200000000000001</v>
      </c>
      <c r="K74" s="3">
        <v>26.721</v>
      </c>
      <c r="L74" s="3">
        <v>3.2269999999999999</v>
      </c>
      <c r="M74" s="3">
        <v>6.57</v>
      </c>
      <c r="N74" s="3">
        <v>3.9470000000000005</v>
      </c>
      <c r="O74" s="3">
        <v>80.408000000000001</v>
      </c>
      <c r="P74" s="3">
        <v>190.68</v>
      </c>
      <c r="Q74" s="3">
        <v>194.75425000000001</v>
      </c>
      <c r="R74" s="3">
        <v>4.4223520000000001</v>
      </c>
      <c r="S74" s="5"/>
      <c r="U74" s="5"/>
      <c r="V74" s="5"/>
    </row>
    <row r="75" spans="1:22" x14ac:dyDescent="0.2">
      <c r="A75" s="1">
        <v>5</v>
      </c>
      <c r="B75" s="7" t="s">
        <v>198</v>
      </c>
      <c r="D75" t="s">
        <v>265</v>
      </c>
      <c r="E75" t="s">
        <v>24</v>
      </c>
      <c r="F75" s="3">
        <v>204.16</v>
      </c>
      <c r="G75" s="3">
        <v>6.694</v>
      </c>
      <c r="H75" s="3">
        <v>87.727999999999994</v>
      </c>
      <c r="I75" s="3">
        <v>1.3459999999999999</v>
      </c>
      <c r="J75" s="3">
        <v>0.13200000000000001</v>
      </c>
      <c r="K75" s="3">
        <v>27.281000000000002</v>
      </c>
      <c r="L75" s="3">
        <v>4.6020000000000003</v>
      </c>
      <c r="M75" s="3">
        <v>6.5420000000000007</v>
      </c>
      <c r="N75" s="3">
        <v>4.2100000000000009</v>
      </c>
      <c r="O75" s="3">
        <v>72.988</v>
      </c>
      <c r="P75" s="3">
        <v>170.98</v>
      </c>
      <c r="Q75" s="3">
        <v>197.15425000000002</v>
      </c>
      <c r="R75" s="3">
        <v>4.4841759999999997</v>
      </c>
      <c r="S75" s="5"/>
      <c r="U75" s="5"/>
      <c r="V75" s="5"/>
    </row>
    <row r="76" spans="1:22" x14ac:dyDescent="0.2">
      <c r="A76" s="1">
        <v>36</v>
      </c>
      <c r="B76" s="7" t="s">
        <v>198</v>
      </c>
      <c r="D76" t="s">
        <v>265</v>
      </c>
      <c r="E76" t="s">
        <v>55</v>
      </c>
      <c r="F76" s="3">
        <v>303.30200000000002</v>
      </c>
      <c r="G76" s="3">
        <v>10.9251</v>
      </c>
      <c r="H76" s="3">
        <v>90.307999999999993</v>
      </c>
      <c r="I76" s="3">
        <v>1.7962</v>
      </c>
      <c r="J76" s="3">
        <v>0.30599999999999999</v>
      </c>
      <c r="K76" s="3">
        <v>43.024699999999996</v>
      </c>
      <c r="L76" s="3">
        <v>3.1349999999999998</v>
      </c>
      <c r="M76" s="3">
        <v>8.6419999999999995</v>
      </c>
      <c r="N76" s="3">
        <v>3.4289999999999998</v>
      </c>
      <c r="O76" s="3">
        <v>145.82999999999998</v>
      </c>
      <c r="P76" s="3">
        <v>371.71999999999991</v>
      </c>
      <c r="Q76" s="3">
        <v>259.90024999999997</v>
      </c>
      <c r="R76" s="3">
        <v>7.0823072000000007</v>
      </c>
      <c r="S76" s="5"/>
      <c r="U76" s="5"/>
      <c r="V76" s="5"/>
    </row>
    <row r="77" spans="1:22" x14ac:dyDescent="0.2">
      <c r="A77" s="1">
        <v>52</v>
      </c>
      <c r="B77" s="7" t="s">
        <v>198</v>
      </c>
      <c r="D77" t="s">
        <v>265</v>
      </c>
      <c r="E77" t="s">
        <v>71</v>
      </c>
      <c r="F77" s="3">
        <v>294.31700000000001</v>
      </c>
      <c r="G77" s="3">
        <v>9.5985999999999994</v>
      </c>
      <c r="H77" s="3">
        <v>207.16300000000001</v>
      </c>
      <c r="I77" s="3">
        <v>2.0446999999999997</v>
      </c>
      <c r="J77" s="3">
        <v>0.13200000000000001</v>
      </c>
      <c r="K77" s="3">
        <v>27.159200000000002</v>
      </c>
      <c r="L77" s="3">
        <v>11.6585</v>
      </c>
      <c r="M77" s="3">
        <v>13.654</v>
      </c>
      <c r="N77" s="3">
        <v>2.8389999999999995</v>
      </c>
      <c r="O77" s="3">
        <v>132.10999999999999</v>
      </c>
      <c r="P77" s="3">
        <v>369.21999999999991</v>
      </c>
      <c r="Q77" s="3">
        <v>799.09625000000017</v>
      </c>
      <c r="R77" s="3">
        <v>10.026659200000001</v>
      </c>
      <c r="S77" s="5"/>
      <c r="U77" s="5"/>
      <c r="V77" s="5"/>
    </row>
    <row r="78" spans="1:22" x14ac:dyDescent="0.2">
      <c r="A78" s="1">
        <v>57</v>
      </c>
      <c r="B78" s="7" t="s">
        <v>198</v>
      </c>
      <c r="D78" t="s">
        <v>265</v>
      </c>
      <c r="E78" t="s">
        <v>76</v>
      </c>
      <c r="F78" s="3">
        <v>362.85999999999996</v>
      </c>
      <c r="G78" s="3">
        <v>13.826000000000001</v>
      </c>
      <c r="H78" s="3">
        <v>84.757999999999996</v>
      </c>
      <c r="I78" s="3">
        <v>1.8105</v>
      </c>
      <c r="J78" s="3">
        <v>0.24510000000000001</v>
      </c>
      <c r="K78" s="3">
        <v>47.973499999999994</v>
      </c>
      <c r="L78" s="3">
        <v>3.1659999999999999</v>
      </c>
      <c r="M78" s="3">
        <v>11.678000000000001</v>
      </c>
      <c r="N78" s="3">
        <v>3.3414999999999995</v>
      </c>
      <c r="O78" s="3">
        <v>405.35999999999996</v>
      </c>
      <c r="P78" s="3">
        <v>347.79</v>
      </c>
      <c r="Q78" s="3">
        <v>339.00824999999992</v>
      </c>
      <c r="R78" s="3">
        <v>8.3702719999999999</v>
      </c>
      <c r="S78" s="5"/>
      <c r="U78" s="5"/>
      <c r="V78" s="5"/>
    </row>
    <row r="79" spans="1:22" x14ac:dyDescent="0.2">
      <c r="A79" s="1">
        <v>14</v>
      </c>
      <c r="B79" s="7" t="s">
        <v>198</v>
      </c>
      <c r="D79" t="s">
        <v>265</v>
      </c>
      <c r="E79" t="s">
        <v>33</v>
      </c>
      <c r="F79" s="3">
        <v>194.89200000000002</v>
      </c>
      <c r="G79" s="3">
        <v>6.0900999999999996</v>
      </c>
      <c r="H79" s="3">
        <v>66.408000000000001</v>
      </c>
      <c r="I79" s="3">
        <v>0.93120000000000003</v>
      </c>
      <c r="J79" s="3">
        <v>0.13200000000000001</v>
      </c>
      <c r="K79" s="3">
        <v>27.121700000000001</v>
      </c>
      <c r="L79" s="3">
        <v>1.9760000000000002</v>
      </c>
      <c r="M79" s="3">
        <v>6.2230000000000008</v>
      </c>
      <c r="N79" s="3">
        <v>1.7469999999999999</v>
      </c>
      <c r="O79" s="3">
        <v>49.966000000000001</v>
      </c>
      <c r="P79" s="3">
        <v>137.62</v>
      </c>
      <c r="Q79" s="3">
        <v>181.67925</v>
      </c>
      <c r="R79" s="3">
        <v>3.1044831999999998</v>
      </c>
      <c r="S79" s="5"/>
      <c r="U79" s="5"/>
      <c r="V79" s="5"/>
    </row>
    <row r="80" spans="1:22" x14ac:dyDescent="0.2">
      <c r="A80" s="1">
        <v>11</v>
      </c>
      <c r="B80" s="7" t="s">
        <v>198</v>
      </c>
      <c r="D80" t="s">
        <v>265</v>
      </c>
      <c r="E80" t="s">
        <v>30</v>
      </c>
      <c r="F80" s="3">
        <v>285.83999999999997</v>
      </c>
      <c r="G80" s="3">
        <v>8.9260000000000002</v>
      </c>
      <c r="H80" s="3">
        <v>31.237999999999996</v>
      </c>
      <c r="I80" s="3">
        <v>1.6679999999999999</v>
      </c>
      <c r="J80" s="3">
        <v>0</v>
      </c>
      <c r="K80" s="3">
        <v>47.572000000000003</v>
      </c>
      <c r="L80" s="3">
        <v>3.1160000000000001</v>
      </c>
      <c r="M80" s="3">
        <v>5.4730000000000008</v>
      </c>
      <c r="N80" s="3">
        <v>2.9879999999999995</v>
      </c>
      <c r="O80" s="3">
        <v>96.24</v>
      </c>
      <c r="P80" s="3">
        <v>201.78</v>
      </c>
      <c r="Q80" s="3">
        <v>184.61699999999999</v>
      </c>
      <c r="R80" s="3">
        <v>4.2518719999999997</v>
      </c>
      <c r="S80" s="5"/>
      <c r="U80" s="5"/>
      <c r="V80" s="5"/>
    </row>
    <row r="81" spans="1:22" x14ac:dyDescent="0.2">
      <c r="A81" s="1">
        <v>64</v>
      </c>
      <c r="B81" s="7" t="s">
        <v>198</v>
      </c>
      <c r="D81" t="s">
        <v>265</v>
      </c>
      <c r="E81" t="s">
        <v>83</v>
      </c>
      <c r="F81" s="3">
        <v>369.24</v>
      </c>
      <c r="G81" s="3">
        <v>15.847999999999997</v>
      </c>
      <c r="H81" s="3">
        <v>110.17399999999998</v>
      </c>
      <c r="I81" s="3">
        <v>1.4870000000000001</v>
      </c>
      <c r="J81" s="3">
        <v>0.80449999999999999</v>
      </c>
      <c r="K81" s="3">
        <v>47.061</v>
      </c>
      <c r="L81" s="3">
        <v>2.46</v>
      </c>
      <c r="M81" s="3">
        <v>12.1495</v>
      </c>
      <c r="N81" s="3">
        <v>2.3734999999999999</v>
      </c>
      <c r="O81" s="3">
        <v>89.305999999999997</v>
      </c>
      <c r="P81" s="3">
        <v>388.82</v>
      </c>
      <c r="Q81" s="3">
        <v>465.76885000010003</v>
      </c>
      <c r="R81" s="3">
        <v>9.7248959999999993</v>
      </c>
      <c r="S81" s="5"/>
      <c r="U81" s="5"/>
      <c r="V81" s="5"/>
    </row>
    <row r="82" spans="1:22" x14ac:dyDescent="0.2">
      <c r="A82" s="1">
        <v>35</v>
      </c>
      <c r="B82" s="7" t="s">
        <v>198</v>
      </c>
      <c r="D82" t="s">
        <v>265</v>
      </c>
      <c r="E82" t="s">
        <v>54</v>
      </c>
      <c r="F82" s="3">
        <v>342.98</v>
      </c>
      <c r="G82" s="3">
        <v>10.608000000000001</v>
      </c>
      <c r="H82" s="3">
        <v>94.53</v>
      </c>
      <c r="I82" s="3">
        <v>1.0606</v>
      </c>
      <c r="J82" s="3">
        <v>0.22820000000000001</v>
      </c>
      <c r="K82" s="3">
        <v>46.150000000000006</v>
      </c>
      <c r="L82" s="3">
        <v>2.1</v>
      </c>
      <c r="M82" s="3">
        <v>12.023</v>
      </c>
      <c r="N82" s="3">
        <v>1.5669999999999999</v>
      </c>
      <c r="O82" s="3">
        <v>59.18</v>
      </c>
      <c r="P82" s="3">
        <v>269.82</v>
      </c>
      <c r="Q82" s="3">
        <v>243.785</v>
      </c>
      <c r="R82" s="3">
        <v>4.9678719999999998</v>
      </c>
      <c r="S82" s="5"/>
      <c r="U82" s="5"/>
      <c r="V82" s="5"/>
    </row>
    <row r="83" spans="1:22" x14ac:dyDescent="0.2">
      <c r="A83" s="1">
        <v>41</v>
      </c>
      <c r="B83" s="7" t="s">
        <v>198</v>
      </c>
      <c r="D83" t="s">
        <v>265</v>
      </c>
      <c r="E83" t="s">
        <v>60</v>
      </c>
      <c r="F83" s="3">
        <v>337.05500000000001</v>
      </c>
      <c r="G83" s="3">
        <v>14.924999999999999</v>
      </c>
      <c r="H83" s="3">
        <v>218.7</v>
      </c>
      <c r="I83" s="3">
        <v>1.125</v>
      </c>
      <c r="J83" s="3">
        <v>0.49270000000000003</v>
      </c>
      <c r="K83" s="3">
        <v>46.948500000000003</v>
      </c>
      <c r="L83" s="3">
        <v>2.1</v>
      </c>
      <c r="M83" s="3">
        <v>9.0614999999999988</v>
      </c>
      <c r="N83" s="3">
        <v>2.2909999999999999</v>
      </c>
      <c r="O83" s="3">
        <v>159.26</v>
      </c>
      <c r="P83" s="3">
        <v>358.21999999999997</v>
      </c>
      <c r="Q83" s="3">
        <v>458.5775000000001</v>
      </c>
      <c r="R83" s="3">
        <v>8.3524000000000012</v>
      </c>
      <c r="S83" s="5"/>
      <c r="U83" s="5"/>
      <c r="V83" s="5"/>
    </row>
    <row r="84" spans="1:22" x14ac:dyDescent="0.2">
      <c r="A84" s="1">
        <v>30</v>
      </c>
      <c r="B84" s="7" t="s">
        <v>198</v>
      </c>
      <c r="D84" t="s">
        <v>265</v>
      </c>
      <c r="E84" t="s">
        <v>49</v>
      </c>
      <c r="F84" s="3">
        <v>304.40999999999997</v>
      </c>
      <c r="G84" s="3">
        <v>8.7128000000000014</v>
      </c>
      <c r="H84" s="3">
        <v>30.42</v>
      </c>
      <c r="I84" s="3">
        <v>1.5905</v>
      </c>
      <c r="J84" s="3">
        <v>5.1000000000000004E-4</v>
      </c>
      <c r="K84" s="3">
        <v>46.967000000000006</v>
      </c>
      <c r="L84" s="3">
        <v>3.1420000000000003</v>
      </c>
      <c r="M84" s="3">
        <v>8.0358000000000001</v>
      </c>
      <c r="N84" s="3">
        <v>2.2494000000000001</v>
      </c>
      <c r="O84" s="3">
        <v>261.41000000000003</v>
      </c>
      <c r="P84" s="3">
        <v>161.63999999999999</v>
      </c>
      <c r="Q84" s="3">
        <v>219.21350000000001</v>
      </c>
      <c r="R84" s="3">
        <v>3.9380416</v>
      </c>
      <c r="S84" s="5"/>
      <c r="U84" s="5"/>
      <c r="V84" s="5"/>
    </row>
    <row r="85" spans="1:22" x14ac:dyDescent="0.2">
      <c r="A85" s="1">
        <v>26</v>
      </c>
      <c r="B85" s="7" t="s">
        <v>198</v>
      </c>
      <c r="D85" t="s">
        <v>265</v>
      </c>
      <c r="E85" t="s">
        <v>45</v>
      </c>
      <c r="F85" s="3">
        <v>315.33999999999997</v>
      </c>
      <c r="G85" s="3">
        <v>10.881</v>
      </c>
      <c r="H85" s="3">
        <v>86.238</v>
      </c>
      <c r="I85" s="3">
        <v>1.7529999999999999</v>
      </c>
      <c r="J85" s="3">
        <v>0.13200000000000001</v>
      </c>
      <c r="K85" s="3">
        <v>48.612000000000002</v>
      </c>
      <c r="L85" s="3">
        <v>4.1560000000000006</v>
      </c>
      <c r="M85" s="3">
        <v>7.1829999999999998</v>
      </c>
      <c r="N85" s="3">
        <v>4.0279999999999996</v>
      </c>
      <c r="O85" s="3">
        <v>128.83999999999997</v>
      </c>
      <c r="P85" s="3">
        <v>272.08</v>
      </c>
      <c r="Q85" s="3">
        <v>250.09700000000001</v>
      </c>
      <c r="R85" s="3">
        <v>6.0597920000000007</v>
      </c>
      <c r="S85" s="5"/>
      <c r="U85" s="5"/>
      <c r="V85" s="5"/>
    </row>
    <row r="86" spans="1:22" x14ac:dyDescent="0.2">
      <c r="A86" s="1">
        <v>54</v>
      </c>
      <c r="B86" s="7" t="s">
        <v>198</v>
      </c>
      <c r="D86" t="s">
        <v>265</v>
      </c>
      <c r="E86" t="s">
        <v>73</v>
      </c>
      <c r="F86" s="3">
        <v>343.35199999999992</v>
      </c>
      <c r="G86" s="3">
        <v>13.4551</v>
      </c>
      <c r="H86" s="3">
        <v>84.557999999999993</v>
      </c>
      <c r="I86" s="3">
        <v>1.9957</v>
      </c>
      <c r="J86" s="3">
        <v>0.45900000000000002</v>
      </c>
      <c r="K86" s="3">
        <v>48.284700000000001</v>
      </c>
      <c r="L86" s="3">
        <v>3.3450000000000002</v>
      </c>
      <c r="M86" s="3">
        <v>9.4930000000000003</v>
      </c>
      <c r="N86" s="3">
        <v>3.5989999999999993</v>
      </c>
      <c r="O86" s="3">
        <v>140.67499999999998</v>
      </c>
      <c r="P86" s="3">
        <v>653.67000000000007</v>
      </c>
      <c r="Q86" s="3">
        <v>465.60225000000003</v>
      </c>
      <c r="R86" s="3">
        <v>9.7106271999999993</v>
      </c>
      <c r="S86" s="5"/>
      <c r="U86" s="5"/>
      <c r="V86" s="5"/>
    </row>
    <row r="87" spans="1:22" x14ac:dyDescent="0.2">
      <c r="A87" s="1">
        <v>22</v>
      </c>
      <c r="B87" s="7" t="s">
        <v>198</v>
      </c>
      <c r="D87" t="s">
        <v>265</v>
      </c>
      <c r="E87" t="s">
        <v>41</v>
      </c>
      <c r="F87" s="3">
        <v>211.3</v>
      </c>
      <c r="G87" s="3">
        <v>7.375</v>
      </c>
      <c r="H87" s="3">
        <v>19.46</v>
      </c>
      <c r="I87" s="3">
        <v>1.6225000000000001</v>
      </c>
      <c r="J87" s="3">
        <v>0</v>
      </c>
      <c r="K87" s="3">
        <v>29.855</v>
      </c>
      <c r="L87" s="3">
        <v>4.3999999999999995</v>
      </c>
      <c r="M87" s="3">
        <v>5.8659999999999997</v>
      </c>
      <c r="N87" s="3">
        <v>3.133</v>
      </c>
      <c r="O87" s="3">
        <v>68.930000000000007</v>
      </c>
      <c r="P87" s="3">
        <v>88.35</v>
      </c>
      <c r="Q87" s="3">
        <v>232.81875000000002</v>
      </c>
      <c r="R87" s="3">
        <v>2.4512</v>
      </c>
      <c r="S87" s="5"/>
      <c r="U87" s="5"/>
      <c r="V87" s="5"/>
    </row>
    <row r="88" spans="1:22" x14ac:dyDescent="0.2">
      <c r="A88" s="1">
        <v>6</v>
      </c>
      <c r="B88" s="7" t="s">
        <v>198</v>
      </c>
      <c r="D88" t="s">
        <v>265</v>
      </c>
      <c r="E88" t="s">
        <v>25</v>
      </c>
      <c r="F88" s="3">
        <v>327.7</v>
      </c>
      <c r="G88" s="3">
        <v>9.0350000000000001</v>
      </c>
      <c r="H88" s="3">
        <v>51.85</v>
      </c>
      <c r="I88" s="3">
        <v>1.1975</v>
      </c>
      <c r="J88" s="3">
        <v>0</v>
      </c>
      <c r="K88" s="3">
        <v>47.71</v>
      </c>
      <c r="L88" s="3">
        <v>2.7250000000000001</v>
      </c>
      <c r="M88" s="3">
        <v>10.103</v>
      </c>
      <c r="N88" s="3">
        <v>2.2839999999999998</v>
      </c>
      <c r="O88" s="3">
        <v>271.44</v>
      </c>
      <c r="P88" s="3">
        <v>152.44999999999999</v>
      </c>
      <c r="Q88" s="3">
        <v>158.07</v>
      </c>
      <c r="R88" s="3">
        <v>4.4123200000000002</v>
      </c>
      <c r="S88" s="5"/>
      <c r="U88" s="5"/>
      <c r="V88" s="5"/>
    </row>
    <row r="89" spans="1:22" x14ac:dyDescent="0.2">
      <c r="A89" s="1">
        <v>29</v>
      </c>
      <c r="B89" s="7" t="s">
        <v>198</v>
      </c>
      <c r="D89" t="s">
        <v>265</v>
      </c>
      <c r="E89" t="s">
        <v>48</v>
      </c>
      <c r="F89" s="3">
        <v>319.3</v>
      </c>
      <c r="G89" s="3">
        <v>10.340000000000002</v>
      </c>
      <c r="H89" s="3">
        <v>76.61</v>
      </c>
      <c r="I89" s="3">
        <v>1.6174999999999999</v>
      </c>
      <c r="J89" s="3">
        <v>0.13200000000000001</v>
      </c>
      <c r="K89" s="3">
        <v>48.445</v>
      </c>
      <c r="L89" s="3">
        <v>5.45</v>
      </c>
      <c r="M89" s="3">
        <v>7.8629999999999995</v>
      </c>
      <c r="N89" s="3">
        <v>3.2690000000000001</v>
      </c>
      <c r="O89" s="3">
        <v>38.589999999999996</v>
      </c>
      <c r="P89" s="3">
        <v>179.25</v>
      </c>
      <c r="Q89" s="3">
        <v>254.12374999999997</v>
      </c>
      <c r="R89" s="3">
        <v>5.263440000000001</v>
      </c>
      <c r="S89" s="5"/>
      <c r="U89" s="5"/>
      <c r="V89" s="5"/>
    </row>
    <row r="90" spans="1:22" x14ac:dyDescent="0.2">
      <c r="A90" s="1">
        <v>7</v>
      </c>
      <c r="B90" s="7" t="s">
        <v>198</v>
      </c>
      <c r="D90" t="s">
        <v>265</v>
      </c>
      <c r="E90" t="s">
        <v>26</v>
      </c>
      <c r="F90" s="3">
        <v>309.90199999999999</v>
      </c>
      <c r="G90" s="3">
        <v>10.575100000000001</v>
      </c>
      <c r="H90" s="3">
        <v>83.658000000000001</v>
      </c>
      <c r="I90" s="3">
        <v>1.7062000000000002</v>
      </c>
      <c r="J90" s="3">
        <v>0.13200000000000001</v>
      </c>
      <c r="K90" s="3">
        <v>48.284700000000001</v>
      </c>
      <c r="L90" s="3">
        <v>3.3450000000000002</v>
      </c>
      <c r="M90" s="3">
        <v>7.0630000000000006</v>
      </c>
      <c r="N90" s="3">
        <v>3.5989999999999993</v>
      </c>
      <c r="O90" s="3">
        <v>131.86999999999998</v>
      </c>
      <c r="P90" s="3">
        <v>267.41999999999996</v>
      </c>
      <c r="Q90" s="3">
        <v>238.51725000000002</v>
      </c>
      <c r="R90" s="3">
        <v>5.6095072000000004</v>
      </c>
      <c r="S90" s="5"/>
      <c r="U90" s="5"/>
      <c r="V90" s="5"/>
    </row>
    <row r="91" spans="1:22" x14ac:dyDescent="0.2">
      <c r="A91" s="1">
        <v>58</v>
      </c>
      <c r="B91" s="7" t="s">
        <v>198</v>
      </c>
      <c r="D91" t="s">
        <v>265</v>
      </c>
      <c r="E91" t="s">
        <v>77</v>
      </c>
      <c r="F91" s="3">
        <v>299.49</v>
      </c>
      <c r="G91" s="3">
        <v>10.906000000000001</v>
      </c>
      <c r="H91" s="3">
        <v>45.413000000000004</v>
      </c>
      <c r="I91" s="3">
        <v>1.9095000000000002</v>
      </c>
      <c r="J91" s="3">
        <v>1.5674999999999999</v>
      </c>
      <c r="K91" s="3">
        <v>47.587000000000003</v>
      </c>
      <c r="L91" s="3">
        <v>3.1347499999999999</v>
      </c>
      <c r="M91" s="3">
        <v>6.1067499999999999</v>
      </c>
      <c r="N91" s="3">
        <v>2.9879999999999995</v>
      </c>
      <c r="O91" s="3">
        <v>411.98999999999995</v>
      </c>
      <c r="P91" s="3">
        <v>248.95500000000001</v>
      </c>
      <c r="Q91" s="3">
        <v>237.11699999999999</v>
      </c>
      <c r="R91" s="3">
        <v>6.0893120000000005</v>
      </c>
      <c r="S91" s="5"/>
      <c r="U91" s="5"/>
      <c r="V91" s="5"/>
    </row>
    <row r="92" spans="1:22" x14ac:dyDescent="0.2">
      <c r="A92" s="1">
        <v>8</v>
      </c>
      <c r="B92" s="7" t="s">
        <v>198</v>
      </c>
      <c r="D92" t="s">
        <v>265</v>
      </c>
      <c r="E92" t="s">
        <v>27</v>
      </c>
      <c r="F92" s="3">
        <v>307.54000000000002</v>
      </c>
      <c r="G92" s="3">
        <v>10.531000000000001</v>
      </c>
      <c r="H92" s="3">
        <v>81.487999999999985</v>
      </c>
      <c r="I92" s="3">
        <v>1.6929999999999998</v>
      </c>
      <c r="J92" s="3">
        <v>0.13200000000000001</v>
      </c>
      <c r="K92" s="3">
        <v>47.856999999999999</v>
      </c>
      <c r="L92" s="3">
        <v>3.1659999999999999</v>
      </c>
      <c r="M92" s="3">
        <v>7.0280000000000005</v>
      </c>
      <c r="N92" s="3">
        <v>3.2729999999999997</v>
      </c>
      <c r="O92" s="3">
        <v>128.13999999999999</v>
      </c>
      <c r="P92" s="3">
        <v>265.58</v>
      </c>
      <c r="Q92" s="3">
        <v>237.06825000000001</v>
      </c>
      <c r="R92" s="3">
        <v>5.5445920000000006</v>
      </c>
      <c r="S92" s="5"/>
      <c r="U92" s="5"/>
      <c r="V92" s="5"/>
    </row>
    <row r="93" spans="1:22" x14ac:dyDescent="0.2">
      <c r="A93" s="1">
        <v>39</v>
      </c>
      <c r="B93" s="7" t="s">
        <v>198</v>
      </c>
      <c r="D93" t="s">
        <v>265</v>
      </c>
      <c r="E93" t="s">
        <v>58</v>
      </c>
      <c r="F93" s="3">
        <v>332.35499999999996</v>
      </c>
      <c r="G93" s="3">
        <v>10.9915</v>
      </c>
      <c r="H93" s="3">
        <v>92.506</v>
      </c>
      <c r="I93" s="3">
        <v>1.7240199999999999</v>
      </c>
      <c r="J93" s="3">
        <v>0.2051</v>
      </c>
      <c r="K93" s="3">
        <v>51.033500000000004</v>
      </c>
      <c r="L93" s="3">
        <v>3.242</v>
      </c>
      <c r="M93" s="3">
        <v>8.1439000000000004</v>
      </c>
      <c r="N93" s="3">
        <v>4.2901999999999996</v>
      </c>
      <c r="O93" s="3">
        <v>126.46159999999999</v>
      </c>
      <c r="P93" s="3">
        <v>290.66999999999996</v>
      </c>
      <c r="Q93" s="3">
        <v>263.59449999999998</v>
      </c>
      <c r="R93" s="3">
        <v>5.7470480000000004</v>
      </c>
      <c r="S93" s="5"/>
      <c r="U93" s="5"/>
      <c r="V93" s="5"/>
    </row>
    <row r="94" spans="1:22" x14ac:dyDescent="0.2">
      <c r="A94" s="1">
        <v>45</v>
      </c>
      <c r="B94" s="7" t="s">
        <v>198</v>
      </c>
      <c r="D94" t="s">
        <v>265</v>
      </c>
      <c r="E94" t="s">
        <v>64</v>
      </c>
      <c r="F94" s="3">
        <v>337.15999999999997</v>
      </c>
      <c r="G94" s="3">
        <v>12.279</v>
      </c>
      <c r="H94" s="3">
        <v>136.82000000000002</v>
      </c>
      <c r="I94" s="3">
        <v>1.252</v>
      </c>
      <c r="J94" s="3">
        <v>0.42119999999999996</v>
      </c>
      <c r="K94" s="3">
        <v>48.949499999999993</v>
      </c>
      <c r="L94" s="3">
        <v>3.355</v>
      </c>
      <c r="M94" s="3">
        <v>9.0969999999999995</v>
      </c>
      <c r="N94" s="3">
        <v>4.2230000000000008</v>
      </c>
      <c r="O94" s="3">
        <v>70.656000000000006</v>
      </c>
      <c r="P94" s="3">
        <v>298.29999999999995</v>
      </c>
      <c r="Q94" s="3">
        <v>341.9271833336</v>
      </c>
      <c r="R94" s="3">
        <v>6.8427840000000009</v>
      </c>
      <c r="S94" s="5"/>
      <c r="U94" s="5"/>
      <c r="V94" s="5"/>
    </row>
    <row r="95" spans="1:22" x14ac:dyDescent="0.2">
      <c r="A95" s="1">
        <v>12</v>
      </c>
      <c r="B95" s="7" t="s">
        <v>198</v>
      </c>
      <c r="D95" t="s">
        <v>265</v>
      </c>
      <c r="E95" t="s">
        <v>31</v>
      </c>
      <c r="F95" s="3">
        <v>285.83999999999997</v>
      </c>
      <c r="G95" s="3">
        <v>8.9260000000000002</v>
      </c>
      <c r="H95" s="3">
        <v>31.237999999999996</v>
      </c>
      <c r="I95" s="3">
        <v>1.6679999999999999</v>
      </c>
      <c r="J95" s="3">
        <v>0</v>
      </c>
      <c r="K95" s="3">
        <v>47.572000000000003</v>
      </c>
      <c r="L95" s="3">
        <v>3.1160000000000001</v>
      </c>
      <c r="M95" s="3">
        <v>5.4730000000000008</v>
      </c>
      <c r="N95" s="3">
        <v>2.9879999999999995</v>
      </c>
      <c r="O95" s="3">
        <v>96.24</v>
      </c>
      <c r="P95" s="3">
        <v>201.78</v>
      </c>
      <c r="Q95" s="3">
        <v>184.61699999999999</v>
      </c>
      <c r="R95" s="3">
        <v>4.2518719999999997</v>
      </c>
      <c r="S95" s="5"/>
      <c r="U95" s="5"/>
      <c r="V95" s="5"/>
    </row>
    <row r="96" spans="1:22" x14ac:dyDescent="0.2">
      <c r="A96" s="1">
        <v>37</v>
      </c>
      <c r="B96" s="7" t="s">
        <v>198</v>
      </c>
      <c r="D96" t="s">
        <v>265</v>
      </c>
      <c r="E96" t="s">
        <v>56</v>
      </c>
      <c r="F96" s="3">
        <v>321.00199999999995</v>
      </c>
      <c r="G96" s="3">
        <v>10.920100000000001</v>
      </c>
      <c r="H96" s="3">
        <v>67.858000000000004</v>
      </c>
      <c r="I96" s="3">
        <v>1.7612000000000003</v>
      </c>
      <c r="J96" s="3">
        <v>0</v>
      </c>
      <c r="K96" s="3">
        <v>49.124700000000004</v>
      </c>
      <c r="L96" s="3">
        <v>3.3450000000000002</v>
      </c>
      <c r="M96" s="3">
        <v>7.8129999999999997</v>
      </c>
      <c r="N96" s="3">
        <v>4.4389999999999992</v>
      </c>
      <c r="O96" s="3">
        <v>117.47</v>
      </c>
      <c r="P96" s="3">
        <v>272.71999999999997</v>
      </c>
      <c r="Q96" s="3">
        <v>236.92725000000002</v>
      </c>
      <c r="R96" s="3">
        <v>5.8799872000000004</v>
      </c>
      <c r="S96" s="5"/>
      <c r="U96" s="5"/>
      <c r="V96" s="5"/>
    </row>
    <row r="97" spans="1:22" x14ac:dyDescent="0.2">
      <c r="A97" s="1">
        <v>47</v>
      </c>
      <c r="B97" s="7" t="s">
        <v>198</v>
      </c>
      <c r="D97" t="s">
        <v>265</v>
      </c>
      <c r="E97" t="s">
        <v>66</v>
      </c>
      <c r="F97" s="3">
        <v>299.75799999999992</v>
      </c>
      <c r="G97" s="3">
        <v>11.046500000000002</v>
      </c>
      <c r="H97" s="3">
        <v>71.834000000000003</v>
      </c>
      <c r="I97" s="3">
        <v>2.1251799999999998</v>
      </c>
      <c r="J97" s="3">
        <v>8.4299999999999986E-2</v>
      </c>
      <c r="K97" s="3">
        <v>49.380900000000004</v>
      </c>
      <c r="L97" s="3">
        <v>4.6510000000000007</v>
      </c>
      <c r="M97" s="3">
        <v>4.9819999999999993</v>
      </c>
      <c r="N97" s="3">
        <v>4.349899999999999</v>
      </c>
      <c r="O97" s="3">
        <v>138.44999999999999</v>
      </c>
      <c r="P97" s="3">
        <v>268.33</v>
      </c>
      <c r="Q97" s="3">
        <v>214.35174999999998</v>
      </c>
      <c r="R97" s="3">
        <v>5.7189759999999996</v>
      </c>
      <c r="S97" s="5"/>
      <c r="U97" s="5"/>
      <c r="V97" s="5"/>
    </row>
    <row r="98" spans="1:22" x14ac:dyDescent="0.2">
      <c r="A98" s="1">
        <v>55</v>
      </c>
      <c r="B98" s="7" t="s">
        <v>198</v>
      </c>
      <c r="D98" t="s">
        <v>265</v>
      </c>
      <c r="E98" t="s">
        <v>74</v>
      </c>
      <c r="F98" s="3">
        <v>312.44</v>
      </c>
      <c r="G98" s="3">
        <v>12.786</v>
      </c>
      <c r="H98" s="3">
        <v>34.658000000000001</v>
      </c>
      <c r="I98" s="3">
        <v>1.768</v>
      </c>
      <c r="J98" s="3">
        <v>0.50800000000000001</v>
      </c>
      <c r="K98" s="3">
        <v>47.572000000000003</v>
      </c>
      <c r="L98" s="3">
        <v>3.1160000000000001</v>
      </c>
      <c r="M98" s="3">
        <v>6.7170000000000005</v>
      </c>
      <c r="N98" s="3">
        <v>2.9879999999999995</v>
      </c>
      <c r="O98" s="3">
        <v>104.6</v>
      </c>
      <c r="P98" s="3">
        <v>285.77999999999997</v>
      </c>
      <c r="Q98" s="3">
        <v>228.37699999999998</v>
      </c>
      <c r="R98" s="3">
        <v>6.6605120000000007</v>
      </c>
      <c r="S98" s="5"/>
      <c r="U98" s="5"/>
      <c r="V98" s="5"/>
    </row>
    <row r="99" spans="1:22" x14ac:dyDescent="0.2">
      <c r="A99" s="1">
        <v>56</v>
      </c>
      <c r="B99" s="7" t="s">
        <v>198</v>
      </c>
      <c r="D99" t="s">
        <v>265</v>
      </c>
      <c r="E99" t="s">
        <v>75</v>
      </c>
      <c r="F99" s="3">
        <v>333.84</v>
      </c>
      <c r="G99" s="3">
        <v>16.751000000000001</v>
      </c>
      <c r="H99" s="3">
        <v>31.487999999999996</v>
      </c>
      <c r="I99" s="3">
        <v>1.7929999999999999</v>
      </c>
      <c r="J99" s="3">
        <v>0.61250000000000004</v>
      </c>
      <c r="K99" s="3">
        <v>47.8245</v>
      </c>
      <c r="L99" s="3">
        <v>3.1160000000000001</v>
      </c>
      <c r="M99" s="3">
        <v>7.2105000000000006</v>
      </c>
      <c r="N99" s="3">
        <v>2.9879999999999995</v>
      </c>
      <c r="O99" s="3">
        <v>163.73999999999998</v>
      </c>
      <c r="P99" s="3">
        <v>451.78</v>
      </c>
      <c r="Q99" s="3">
        <v>416.767</v>
      </c>
      <c r="R99" s="3">
        <v>11.513471999999998</v>
      </c>
      <c r="S99" s="5"/>
      <c r="U99" s="5"/>
      <c r="V99" s="5"/>
    </row>
    <row r="100" spans="1:22" x14ac:dyDescent="0.2">
      <c r="A100" s="1">
        <v>9</v>
      </c>
      <c r="B100" s="7" t="s">
        <v>198</v>
      </c>
      <c r="D100" t="s">
        <v>265</v>
      </c>
      <c r="E100" t="s">
        <v>28</v>
      </c>
      <c r="F100" s="3">
        <v>314.09800000000001</v>
      </c>
      <c r="G100" s="3">
        <v>10.644400000000001</v>
      </c>
      <c r="H100" s="3">
        <v>86.617999999999995</v>
      </c>
      <c r="I100" s="3">
        <v>1.7308000000000001</v>
      </c>
      <c r="J100" s="3">
        <v>0.13200000000000001</v>
      </c>
      <c r="K100" s="3">
        <v>49.067799999999998</v>
      </c>
      <c r="L100" s="3">
        <v>3.6369999999999996</v>
      </c>
      <c r="M100" s="3">
        <v>7.1180000000000003</v>
      </c>
      <c r="N100" s="3">
        <v>4.2119999999999997</v>
      </c>
      <c r="O100" s="3">
        <v>136.95999999999998</v>
      </c>
      <c r="P100" s="3">
        <v>270.14</v>
      </c>
      <c r="Q100" s="3">
        <v>240.70425</v>
      </c>
      <c r="R100" s="3">
        <v>5.7115168000000009</v>
      </c>
      <c r="S100" s="5"/>
      <c r="U100" s="5"/>
      <c r="V100" s="5"/>
    </row>
    <row r="101" spans="1:22" x14ac:dyDescent="0.2">
      <c r="A101" s="1">
        <v>10</v>
      </c>
      <c r="B101" s="7" t="s">
        <v>198</v>
      </c>
      <c r="D101" t="s">
        <v>265</v>
      </c>
      <c r="E101" t="s">
        <v>29</v>
      </c>
      <c r="F101" s="3">
        <v>313.202</v>
      </c>
      <c r="G101" s="3">
        <v>10.821100000000001</v>
      </c>
      <c r="H101" s="3">
        <v>87.397999999999996</v>
      </c>
      <c r="I101" s="3">
        <v>1.7782000000000002</v>
      </c>
      <c r="J101" s="3">
        <v>0.13200000000000001</v>
      </c>
      <c r="K101" s="3">
        <v>48.6447</v>
      </c>
      <c r="L101" s="3">
        <v>3.5550000000000002</v>
      </c>
      <c r="M101" s="3">
        <v>7.1150000000000002</v>
      </c>
      <c r="N101" s="3">
        <v>3.9569999999999999</v>
      </c>
      <c r="O101" s="3">
        <v>133.66999999999999</v>
      </c>
      <c r="P101" s="3">
        <v>281.41999999999996</v>
      </c>
      <c r="Q101" s="3">
        <v>245.23724999999999</v>
      </c>
      <c r="R101" s="3">
        <v>5.9716192000000001</v>
      </c>
      <c r="S101" s="5"/>
      <c r="U101" s="5"/>
      <c r="V101" s="5"/>
    </row>
    <row r="102" spans="1:22" x14ac:dyDescent="0.2">
      <c r="A102" s="1">
        <v>13</v>
      </c>
      <c r="B102" s="7" t="s">
        <v>198</v>
      </c>
      <c r="D102" t="s">
        <v>265</v>
      </c>
      <c r="E102" t="s">
        <v>32</v>
      </c>
      <c r="F102" s="3">
        <v>299.5</v>
      </c>
      <c r="G102" s="3">
        <v>10.167000000000002</v>
      </c>
      <c r="H102" s="3">
        <v>72.087999999999994</v>
      </c>
      <c r="I102" s="3">
        <v>1.2209999999999999</v>
      </c>
      <c r="J102" s="3">
        <v>0.13200000000000001</v>
      </c>
      <c r="K102" s="3">
        <v>47.064999999999998</v>
      </c>
      <c r="L102" s="3">
        <v>2.57</v>
      </c>
      <c r="M102" s="3">
        <v>6.9080000000000004</v>
      </c>
      <c r="N102" s="3">
        <v>2.4850000000000003</v>
      </c>
      <c r="O102" s="3">
        <v>42.14</v>
      </c>
      <c r="P102" s="3">
        <v>189.58</v>
      </c>
      <c r="Q102" s="3">
        <v>229.14824999999999</v>
      </c>
      <c r="R102" s="3">
        <v>5.0087840000000003</v>
      </c>
      <c r="S102" s="5"/>
      <c r="U102" s="5"/>
      <c r="V102" s="5"/>
    </row>
    <row r="103" spans="1:22" x14ac:dyDescent="0.2">
      <c r="A103" s="1">
        <v>50</v>
      </c>
      <c r="B103" s="7" t="s">
        <v>198</v>
      </c>
      <c r="D103" t="s">
        <v>264</v>
      </c>
      <c r="E103" t="s">
        <v>69</v>
      </c>
      <c r="F103" s="3">
        <v>386.14</v>
      </c>
      <c r="G103" s="3">
        <v>15.101000000000001</v>
      </c>
      <c r="H103" s="3">
        <v>304.63</v>
      </c>
      <c r="I103" s="3">
        <v>1.7384999999999999</v>
      </c>
      <c r="J103" s="3">
        <v>1.1399999999999999</v>
      </c>
      <c r="K103" s="3">
        <v>45.807000000000002</v>
      </c>
      <c r="L103" s="3">
        <v>3.536</v>
      </c>
      <c r="M103" s="3">
        <v>14.777000000000001</v>
      </c>
      <c r="N103" s="3">
        <v>2.9159999999999999</v>
      </c>
      <c r="O103" s="3">
        <v>211.482</v>
      </c>
      <c r="P103" s="3">
        <v>561.55000000000007</v>
      </c>
      <c r="Q103" s="3">
        <v>674.87749999999994</v>
      </c>
      <c r="R103" s="3">
        <v>9.9617919999999991</v>
      </c>
      <c r="S103" s="5"/>
      <c r="U103" s="5"/>
      <c r="V103" s="5"/>
    </row>
    <row r="104" spans="1:22" x14ac:dyDescent="0.2">
      <c r="A104" s="1">
        <v>105</v>
      </c>
      <c r="B104" s="6" t="s">
        <v>202</v>
      </c>
      <c r="C104" s="11" t="s">
        <v>206</v>
      </c>
      <c r="D104" s="34" t="s">
        <v>252</v>
      </c>
      <c r="E104" s="11" t="s">
        <v>124</v>
      </c>
      <c r="F104" s="3">
        <v>190.36499999999998</v>
      </c>
      <c r="G104" s="3">
        <v>19.035499999999999</v>
      </c>
      <c r="H104" s="3">
        <v>18.062000000000001</v>
      </c>
      <c r="I104" s="3">
        <v>1.1698999999999999</v>
      </c>
      <c r="J104" s="3">
        <v>0.40349999999999997</v>
      </c>
      <c r="K104" s="3">
        <v>3.5090999999999997</v>
      </c>
      <c r="L104" s="3">
        <v>0.14400000000000002</v>
      </c>
      <c r="M104" s="3">
        <v>11.189399999999999</v>
      </c>
      <c r="N104" s="3">
        <v>0.2331</v>
      </c>
      <c r="O104" s="3">
        <v>72.59</v>
      </c>
      <c r="P104" s="3">
        <v>540.27</v>
      </c>
      <c r="Q104" s="3">
        <v>636.89750000000004</v>
      </c>
      <c r="R104" s="3">
        <v>16.202919999999999</v>
      </c>
      <c r="S104" s="5"/>
      <c r="U104" s="5"/>
      <c r="V104" s="5"/>
    </row>
    <row r="105" spans="1:22" x14ac:dyDescent="0.2">
      <c r="A105" s="1">
        <v>106</v>
      </c>
      <c r="B105" s="6" t="s">
        <v>202</v>
      </c>
      <c r="C105" s="11" t="s">
        <v>206</v>
      </c>
      <c r="D105" s="34" t="s">
        <v>252</v>
      </c>
      <c r="E105" s="11" t="s">
        <v>125</v>
      </c>
      <c r="F105" s="3">
        <v>170.1</v>
      </c>
      <c r="G105" s="3">
        <v>18.2</v>
      </c>
      <c r="H105" s="3">
        <v>10.808</v>
      </c>
      <c r="I105" s="3">
        <v>1.0189999999999999</v>
      </c>
      <c r="J105" s="3">
        <v>0.36</v>
      </c>
      <c r="K105" s="3">
        <v>0</v>
      </c>
      <c r="L105" s="3">
        <v>0</v>
      </c>
      <c r="M105" s="3">
        <v>10.8</v>
      </c>
      <c r="N105" s="3">
        <v>0</v>
      </c>
      <c r="O105" s="3">
        <v>50.870000000000005</v>
      </c>
      <c r="P105" s="3">
        <v>527.88</v>
      </c>
      <c r="Q105" s="3">
        <v>624.572</v>
      </c>
      <c r="R105" s="3">
        <v>15.736959999999998</v>
      </c>
      <c r="S105" s="5"/>
      <c r="U105" s="5"/>
      <c r="V105" s="5"/>
    </row>
    <row r="106" spans="1:22" x14ac:dyDescent="0.2">
      <c r="A106" s="1">
        <v>102</v>
      </c>
      <c r="B106" s="6" t="s">
        <v>202</v>
      </c>
      <c r="C106" s="11" t="s">
        <v>206</v>
      </c>
      <c r="D106" s="34" t="s">
        <v>252</v>
      </c>
      <c r="E106" s="11" t="s">
        <v>121</v>
      </c>
      <c r="F106" s="3">
        <v>170.1</v>
      </c>
      <c r="G106" s="3">
        <v>18.2</v>
      </c>
      <c r="H106" s="3">
        <v>10.808</v>
      </c>
      <c r="I106" s="3">
        <v>1.0189999999999999</v>
      </c>
      <c r="J106" s="3">
        <v>0.36</v>
      </c>
      <c r="K106" s="3">
        <v>0</v>
      </c>
      <c r="L106" s="3">
        <v>0</v>
      </c>
      <c r="M106" s="3">
        <v>10.8</v>
      </c>
      <c r="N106" s="3">
        <v>0</v>
      </c>
      <c r="O106" s="3">
        <v>50.870000000000005</v>
      </c>
      <c r="P106" s="3">
        <v>527.88</v>
      </c>
      <c r="Q106" s="3">
        <v>624.572</v>
      </c>
      <c r="R106" s="3">
        <v>15.736959999999998</v>
      </c>
      <c r="S106" s="5"/>
      <c r="U106" s="5"/>
      <c r="V106" s="5"/>
    </row>
    <row r="107" spans="1:22" x14ac:dyDescent="0.2">
      <c r="A107" s="1">
        <v>104</v>
      </c>
      <c r="B107" s="6" t="s">
        <v>202</v>
      </c>
      <c r="C107" s="11" t="s">
        <v>206</v>
      </c>
      <c r="D107" s="34" t="s">
        <v>252</v>
      </c>
      <c r="E107" s="11" t="s">
        <v>123</v>
      </c>
      <c r="F107" s="3">
        <v>179.1</v>
      </c>
      <c r="G107" s="3">
        <v>18.204999999999998</v>
      </c>
      <c r="H107" s="3">
        <v>10.81</v>
      </c>
      <c r="I107" s="3">
        <v>1.0194999999999999</v>
      </c>
      <c r="J107" s="3">
        <v>0.36</v>
      </c>
      <c r="K107" s="3">
        <v>0</v>
      </c>
      <c r="L107" s="3">
        <v>0</v>
      </c>
      <c r="M107" s="3">
        <v>11.798999999999999</v>
      </c>
      <c r="N107" s="3">
        <v>0</v>
      </c>
      <c r="O107" s="3">
        <v>50.92</v>
      </c>
      <c r="P107" s="3">
        <v>531.15</v>
      </c>
      <c r="Q107" s="3">
        <v>638.98749999999995</v>
      </c>
      <c r="R107" s="3">
        <v>15.744319999999998</v>
      </c>
      <c r="S107" s="5"/>
      <c r="U107" s="5"/>
      <c r="V107" s="5"/>
    </row>
    <row r="108" spans="1:22" x14ac:dyDescent="0.2">
      <c r="A108" s="1">
        <v>31</v>
      </c>
      <c r="B108" s="7" t="s">
        <v>198</v>
      </c>
      <c r="D108" t="s">
        <v>262</v>
      </c>
      <c r="E108" t="s">
        <v>50</v>
      </c>
      <c r="F108" s="3">
        <v>224.5</v>
      </c>
      <c r="G108" s="3">
        <v>6.2759999999999998</v>
      </c>
      <c r="H108" s="3">
        <v>69.147999999999996</v>
      </c>
      <c r="I108" s="3">
        <v>1.4849999999999999</v>
      </c>
      <c r="J108" s="3">
        <v>0.13200000000000001</v>
      </c>
      <c r="K108" s="3">
        <v>33.54</v>
      </c>
      <c r="L108" s="3">
        <v>4.17</v>
      </c>
      <c r="M108" s="3">
        <v>6.0380000000000003</v>
      </c>
      <c r="N108" s="3">
        <v>0.8640000000000001</v>
      </c>
      <c r="O108" s="3">
        <v>34.652000000000001</v>
      </c>
      <c r="P108" s="3">
        <v>109.38000000000001</v>
      </c>
      <c r="Q108" s="3">
        <v>195.73599999999999</v>
      </c>
      <c r="R108" s="3">
        <v>2.9232320000000005</v>
      </c>
      <c r="S108" s="5"/>
      <c r="U108" s="5"/>
      <c r="V108" s="5"/>
    </row>
    <row r="109" spans="1:22" x14ac:dyDescent="0.2">
      <c r="A109" s="1">
        <v>48</v>
      </c>
      <c r="B109" s="7" t="s">
        <v>198</v>
      </c>
      <c r="D109" t="s">
        <v>262</v>
      </c>
      <c r="E109" t="s">
        <v>67</v>
      </c>
      <c r="F109" s="3">
        <v>368.00999999999993</v>
      </c>
      <c r="G109" s="3">
        <v>11.059999999999999</v>
      </c>
      <c r="H109" s="3">
        <v>94.667999999999978</v>
      </c>
      <c r="I109" s="3">
        <v>3.0820000000000003</v>
      </c>
      <c r="J109" s="3">
        <v>0.22419999999999998</v>
      </c>
      <c r="K109" s="3">
        <v>60.763999999999996</v>
      </c>
      <c r="L109" s="3">
        <v>6.2309999999999999</v>
      </c>
      <c r="M109" s="3">
        <v>6.984</v>
      </c>
      <c r="N109" s="3">
        <v>4.2930000000000001</v>
      </c>
      <c r="O109" s="3">
        <v>129.51999999999998</v>
      </c>
      <c r="P109" s="3">
        <v>254.6</v>
      </c>
      <c r="Q109" s="3">
        <v>312.67724999999996</v>
      </c>
      <c r="R109" s="3">
        <v>5.9539680000000006</v>
      </c>
      <c r="S109" s="5"/>
      <c r="U109" s="5"/>
      <c r="V109" s="5"/>
    </row>
    <row r="110" spans="1:22" x14ac:dyDescent="0.2">
      <c r="A110" s="1">
        <v>170</v>
      </c>
      <c r="B110" s="8" t="s">
        <v>203</v>
      </c>
      <c r="D110" t="s">
        <v>262</v>
      </c>
      <c r="E110" t="s">
        <v>172</v>
      </c>
      <c r="F110" s="3">
        <v>165.75</v>
      </c>
      <c r="G110" s="3">
        <v>3.2650000000000001</v>
      </c>
      <c r="H110" s="3">
        <v>21.46</v>
      </c>
      <c r="I110" s="3">
        <v>1.3674999999999999</v>
      </c>
      <c r="J110" s="3">
        <v>0</v>
      </c>
      <c r="K110" s="3">
        <v>24.3</v>
      </c>
      <c r="L110" s="3">
        <v>2.7</v>
      </c>
      <c r="M110" s="3">
        <v>5.2650000000000006</v>
      </c>
      <c r="N110" s="3">
        <v>1.17</v>
      </c>
      <c r="O110" s="3">
        <v>0.91</v>
      </c>
      <c r="P110" s="3">
        <v>52.35</v>
      </c>
      <c r="Q110" s="3">
        <v>155.29750000000001</v>
      </c>
      <c r="R110" s="3">
        <v>1.12544</v>
      </c>
      <c r="S110" s="5"/>
      <c r="U110" s="5"/>
      <c r="V110" s="5"/>
    </row>
    <row r="111" spans="1:22" x14ac:dyDescent="0.2">
      <c r="A111" s="1">
        <v>171</v>
      </c>
      <c r="B111" s="8" t="s">
        <v>203</v>
      </c>
      <c r="D111" t="s">
        <v>262</v>
      </c>
      <c r="E111" t="s">
        <v>173</v>
      </c>
      <c r="F111" s="3">
        <v>165.75</v>
      </c>
      <c r="G111" s="3">
        <v>3.2650000000000001</v>
      </c>
      <c r="H111" s="3">
        <v>21.46</v>
      </c>
      <c r="I111" s="3">
        <v>1.3674999999999999</v>
      </c>
      <c r="J111" s="3">
        <v>0</v>
      </c>
      <c r="K111" s="3">
        <v>24.3</v>
      </c>
      <c r="L111" s="3">
        <v>2.7</v>
      </c>
      <c r="M111" s="3">
        <v>5.2650000000000006</v>
      </c>
      <c r="N111" s="3">
        <v>1.17</v>
      </c>
      <c r="O111" s="3">
        <v>0.91</v>
      </c>
      <c r="P111" s="3">
        <v>52.35</v>
      </c>
      <c r="Q111" s="3">
        <v>155.29750000000001</v>
      </c>
      <c r="R111" s="3">
        <v>1.12544</v>
      </c>
      <c r="S111" s="5"/>
      <c r="U111" s="5"/>
      <c r="V111" s="5"/>
    </row>
    <row r="112" spans="1:22" x14ac:dyDescent="0.2">
      <c r="A112" s="1">
        <v>172</v>
      </c>
      <c r="B112" s="8" t="s">
        <v>203</v>
      </c>
      <c r="D112" t="s">
        <v>262</v>
      </c>
      <c r="E112" t="s">
        <v>174</v>
      </c>
      <c r="F112" s="3">
        <v>165.75</v>
      </c>
      <c r="G112" s="3">
        <v>3.2650000000000001</v>
      </c>
      <c r="H112" s="3">
        <v>21.46</v>
      </c>
      <c r="I112" s="3">
        <v>1.3674999999999999</v>
      </c>
      <c r="J112" s="3">
        <v>0</v>
      </c>
      <c r="K112" s="3">
        <v>24.3</v>
      </c>
      <c r="L112" s="3">
        <v>2.7</v>
      </c>
      <c r="M112" s="3">
        <v>5.2650000000000006</v>
      </c>
      <c r="N112" s="3">
        <v>1.17</v>
      </c>
      <c r="O112" s="3">
        <v>0.91</v>
      </c>
      <c r="P112" s="3">
        <v>52.35</v>
      </c>
      <c r="Q112" s="3">
        <v>155.29750000000001</v>
      </c>
      <c r="R112" s="3">
        <v>1.12544</v>
      </c>
      <c r="S112" s="5"/>
      <c r="U112" s="5"/>
      <c r="V112" s="5"/>
    </row>
    <row r="113" spans="1:22" x14ac:dyDescent="0.2">
      <c r="A113" s="1">
        <v>175</v>
      </c>
      <c r="B113" s="8" t="s">
        <v>203</v>
      </c>
      <c r="D113" t="s">
        <v>262</v>
      </c>
      <c r="E113" t="s">
        <v>187</v>
      </c>
      <c r="F113" s="3">
        <v>212.75500000000002</v>
      </c>
      <c r="G113" s="3">
        <v>6.016</v>
      </c>
      <c r="H113" s="3">
        <v>117.42400000000001</v>
      </c>
      <c r="I113" s="3">
        <v>1.3845800000000001</v>
      </c>
      <c r="J113" s="3">
        <v>0.3397</v>
      </c>
      <c r="K113" s="3">
        <v>26.6175</v>
      </c>
      <c r="L113" s="3">
        <v>2.7</v>
      </c>
      <c r="M113" s="3">
        <v>8.2275000000000009</v>
      </c>
      <c r="N113" s="3">
        <v>3.4548999999999999</v>
      </c>
      <c r="O113" s="3">
        <v>47.22</v>
      </c>
      <c r="P113" s="3">
        <v>212.95000000000002</v>
      </c>
      <c r="Q113" s="3">
        <v>226.0145</v>
      </c>
      <c r="R113" s="3">
        <v>3.2650239999999999</v>
      </c>
      <c r="S113" s="5"/>
      <c r="U113" s="5"/>
      <c r="V113" s="5"/>
    </row>
    <row r="114" spans="1:22" x14ac:dyDescent="0.2">
      <c r="A114" s="1">
        <v>176</v>
      </c>
      <c r="B114" s="8" t="s">
        <v>203</v>
      </c>
      <c r="D114" t="s">
        <v>262</v>
      </c>
      <c r="E114" t="s">
        <v>192</v>
      </c>
      <c r="F114" s="3">
        <v>200.58</v>
      </c>
      <c r="G114" s="3">
        <v>5.3109999999999999</v>
      </c>
      <c r="H114" s="3">
        <v>37.234000000000002</v>
      </c>
      <c r="I114" s="3">
        <v>1.69716</v>
      </c>
      <c r="J114" s="3">
        <v>0.18419999999999997</v>
      </c>
      <c r="K114" s="3">
        <v>28.276399999999999</v>
      </c>
      <c r="L114" s="3">
        <v>2.8600000000000003</v>
      </c>
      <c r="M114" s="3">
        <v>6.5286</v>
      </c>
      <c r="N114" s="3">
        <v>1.5022</v>
      </c>
      <c r="O114" s="3">
        <v>37.04</v>
      </c>
      <c r="P114" s="3">
        <v>128.38</v>
      </c>
      <c r="Q114" s="3">
        <v>153.07299999999998</v>
      </c>
      <c r="R114" s="3">
        <v>2.502224</v>
      </c>
      <c r="S114" s="5"/>
      <c r="U114" s="5"/>
      <c r="V114" s="5"/>
    </row>
    <row r="115" spans="1:22" x14ac:dyDescent="0.2">
      <c r="A115" s="1">
        <v>173</v>
      </c>
      <c r="B115" s="8" t="s">
        <v>203</v>
      </c>
      <c r="D115" t="s">
        <v>262</v>
      </c>
      <c r="E115" t="s">
        <v>175</v>
      </c>
      <c r="F115" s="3">
        <v>165.75</v>
      </c>
      <c r="G115" s="3">
        <v>3.2650000000000001</v>
      </c>
      <c r="H115" s="3">
        <v>21.46</v>
      </c>
      <c r="I115" s="3">
        <v>1.3674999999999999</v>
      </c>
      <c r="J115" s="3">
        <v>0</v>
      </c>
      <c r="K115" s="3">
        <v>24.3</v>
      </c>
      <c r="L115" s="3">
        <v>2.7</v>
      </c>
      <c r="M115" s="3">
        <v>5.2650000000000006</v>
      </c>
      <c r="N115" s="3">
        <v>1.17</v>
      </c>
      <c r="O115" s="3">
        <v>0.91</v>
      </c>
      <c r="P115" s="3">
        <v>52.35</v>
      </c>
      <c r="Q115" s="3">
        <v>155.29750000000001</v>
      </c>
      <c r="R115" s="3">
        <v>1.12544</v>
      </c>
      <c r="S115" s="5"/>
      <c r="U115" s="5"/>
      <c r="V115" s="5"/>
    </row>
    <row r="116" spans="1:22" x14ac:dyDescent="0.2">
      <c r="A116" s="1">
        <v>174</v>
      </c>
      <c r="B116" s="8" t="s">
        <v>203</v>
      </c>
      <c r="D116" t="s">
        <v>262</v>
      </c>
      <c r="E116" t="s">
        <v>185</v>
      </c>
      <c r="F116" s="3">
        <v>159.6</v>
      </c>
      <c r="G116" s="3">
        <v>2.8449999999999998</v>
      </c>
      <c r="H116" s="3">
        <v>15.01</v>
      </c>
      <c r="I116" s="3">
        <v>0.90249999999999997</v>
      </c>
      <c r="J116" s="3">
        <v>0</v>
      </c>
      <c r="K116" s="3">
        <v>23.85</v>
      </c>
      <c r="L116" s="3">
        <v>1.95</v>
      </c>
      <c r="M116" s="3">
        <v>5.4450000000000003</v>
      </c>
      <c r="N116" s="3">
        <v>0.3</v>
      </c>
      <c r="O116" s="3">
        <v>34.75</v>
      </c>
      <c r="P116" s="3">
        <v>52.35</v>
      </c>
      <c r="Q116" s="3">
        <v>155.29750000000001</v>
      </c>
      <c r="R116" s="3">
        <v>0.98432000000000008</v>
      </c>
      <c r="S116" s="5"/>
      <c r="U116" s="5"/>
      <c r="V116" s="5"/>
    </row>
    <row r="117" spans="1:22" x14ac:dyDescent="0.2">
      <c r="A117" s="1">
        <v>27</v>
      </c>
      <c r="B117" s="7" t="s">
        <v>198</v>
      </c>
      <c r="D117" s="34" t="s">
        <v>260</v>
      </c>
      <c r="E117" t="s">
        <v>46</v>
      </c>
      <c r="F117" s="3">
        <v>317.58000000000004</v>
      </c>
      <c r="G117" s="3">
        <v>7.6429999999999989</v>
      </c>
      <c r="H117" s="3">
        <v>108.008</v>
      </c>
      <c r="I117" s="3">
        <v>1.53</v>
      </c>
      <c r="J117" s="3">
        <v>0.13200000000000001</v>
      </c>
      <c r="K117" s="3">
        <v>55.942</v>
      </c>
      <c r="L117" s="3">
        <v>2.9950000000000001</v>
      </c>
      <c r="M117" s="3">
        <v>6.2690000000000001</v>
      </c>
      <c r="N117" s="3">
        <v>1.214</v>
      </c>
      <c r="O117" s="3">
        <v>86.995999999999995</v>
      </c>
      <c r="P117" s="3">
        <v>243.6</v>
      </c>
      <c r="Q117" s="3">
        <v>254.9135</v>
      </c>
      <c r="R117" s="3">
        <v>4.7401439999999999</v>
      </c>
      <c r="S117" s="5"/>
      <c r="U117" s="5"/>
      <c r="V117" s="5"/>
    </row>
    <row r="118" spans="1:22" x14ac:dyDescent="0.2">
      <c r="A118" s="1">
        <v>18</v>
      </c>
      <c r="B118" s="7" t="s">
        <v>198</v>
      </c>
      <c r="D118" s="34" t="s">
        <v>260</v>
      </c>
      <c r="E118" t="s">
        <v>37</v>
      </c>
      <c r="F118" s="3">
        <v>316.3</v>
      </c>
      <c r="G118" s="3">
        <v>7.6329999999999991</v>
      </c>
      <c r="H118" s="3">
        <v>77.35799999999999</v>
      </c>
      <c r="I118" s="3">
        <v>1.526</v>
      </c>
      <c r="J118" s="3">
        <v>0.13200000000000001</v>
      </c>
      <c r="K118" s="3">
        <v>56.184999999999995</v>
      </c>
      <c r="L118" s="3">
        <v>2.0449999999999999</v>
      </c>
      <c r="M118" s="3">
        <v>6.2480000000000011</v>
      </c>
      <c r="N118" s="3">
        <v>1.1970000000000001</v>
      </c>
      <c r="O118" s="3">
        <v>59.496000000000002</v>
      </c>
      <c r="P118" s="3">
        <v>239.18000000000004</v>
      </c>
      <c r="Q118" s="3">
        <v>261.48325</v>
      </c>
      <c r="R118" s="3">
        <v>3.3948640000000001</v>
      </c>
      <c r="S118" s="5"/>
      <c r="U118" s="5"/>
      <c r="V118" s="5"/>
    </row>
    <row r="119" spans="1:22" x14ac:dyDescent="0.2">
      <c r="A119" s="1">
        <v>66</v>
      </c>
      <c r="B119" s="7" t="s">
        <v>198</v>
      </c>
      <c r="D119" t="s">
        <v>260</v>
      </c>
      <c r="E119" t="s">
        <v>85</v>
      </c>
      <c r="F119" s="3">
        <v>357.96</v>
      </c>
      <c r="G119" s="3">
        <v>16.093</v>
      </c>
      <c r="H119" s="3">
        <v>61.35</v>
      </c>
      <c r="I119" s="3">
        <v>1.7344999999999999</v>
      </c>
      <c r="J119" s="3">
        <v>0.73499999999999999</v>
      </c>
      <c r="K119" s="3">
        <v>54.902999999999999</v>
      </c>
      <c r="L119" s="3">
        <v>0.73499999999999999</v>
      </c>
      <c r="M119" s="3">
        <v>7.9340000000000002</v>
      </c>
      <c r="N119" s="3">
        <v>0.11200000000000002</v>
      </c>
      <c r="O119" s="3">
        <v>334.846</v>
      </c>
      <c r="P119" s="3">
        <v>475.39000000000004</v>
      </c>
      <c r="Q119" s="3">
        <v>483.44749999999999</v>
      </c>
      <c r="R119" s="3">
        <v>11.656224</v>
      </c>
      <c r="S119" s="5"/>
      <c r="U119" s="5"/>
      <c r="V119" s="5"/>
    </row>
    <row r="120" spans="1:22" x14ac:dyDescent="0.2">
      <c r="A120" s="1">
        <v>19</v>
      </c>
      <c r="B120" s="7" t="s">
        <v>198</v>
      </c>
      <c r="D120" t="s">
        <v>260</v>
      </c>
      <c r="E120" t="s">
        <v>38</v>
      </c>
      <c r="F120" s="3">
        <v>310.10000000000002</v>
      </c>
      <c r="G120" s="3">
        <v>6.8229999999999995</v>
      </c>
      <c r="H120" s="3">
        <v>101.258</v>
      </c>
      <c r="I120" s="3">
        <v>1.6359999999999999</v>
      </c>
      <c r="J120" s="3">
        <v>0.13200000000000001</v>
      </c>
      <c r="K120" s="3">
        <v>55.695</v>
      </c>
      <c r="L120" s="3">
        <v>1.2649999999999999</v>
      </c>
      <c r="M120" s="3">
        <v>6.2780000000000005</v>
      </c>
      <c r="N120" s="3">
        <v>1.2070000000000001</v>
      </c>
      <c r="O120" s="3">
        <v>36.695999999999998</v>
      </c>
      <c r="P120" s="3">
        <v>242.48000000000005</v>
      </c>
      <c r="Q120" s="3">
        <v>229.01325</v>
      </c>
      <c r="R120" s="3">
        <v>3.5331039999999998</v>
      </c>
      <c r="S120" s="5"/>
      <c r="U120" s="5"/>
      <c r="V120" s="5"/>
    </row>
    <row r="121" spans="1:22" x14ac:dyDescent="0.2">
      <c r="A121" s="1">
        <v>23</v>
      </c>
      <c r="B121" s="7" t="s">
        <v>198</v>
      </c>
      <c r="D121" t="s">
        <v>260</v>
      </c>
      <c r="E121" t="s">
        <v>42</v>
      </c>
      <c r="F121" s="3">
        <v>306.18</v>
      </c>
      <c r="G121" s="3">
        <v>6.6829999999999989</v>
      </c>
      <c r="H121" s="3">
        <v>76.908000000000001</v>
      </c>
      <c r="I121" s="3">
        <v>1.1689999999999998</v>
      </c>
      <c r="J121" s="3">
        <v>0.13200000000000001</v>
      </c>
      <c r="K121" s="3">
        <v>56.771999999999998</v>
      </c>
      <c r="L121" s="3">
        <v>0.91500000000000004</v>
      </c>
      <c r="M121" s="3">
        <v>6.2759999999999998</v>
      </c>
      <c r="N121" s="3">
        <v>1.1739999999999999</v>
      </c>
      <c r="O121" s="3">
        <v>40.096000000000004</v>
      </c>
      <c r="P121" s="3">
        <v>280.5</v>
      </c>
      <c r="Q121" s="3">
        <v>241.8135</v>
      </c>
      <c r="R121" s="3">
        <v>3.3270240000000002</v>
      </c>
      <c r="S121" s="5"/>
      <c r="U121" s="5"/>
      <c r="V121" s="5"/>
    </row>
    <row r="122" spans="1:22" x14ac:dyDescent="0.2">
      <c r="A122" s="1">
        <v>40</v>
      </c>
      <c r="B122" s="7" t="s">
        <v>198</v>
      </c>
      <c r="D122" t="s">
        <v>260</v>
      </c>
      <c r="E122" t="s">
        <v>59</v>
      </c>
      <c r="F122" s="3">
        <v>298.82</v>
      </c>
      <c r="G122" s="3">
        <v>6.8089999999999993</v>
      </c>
      <c r="H122" s="3">
        <v>57.212000000000003</v>
      </c>
      <c r="I122" s="3">
        <v>1.5830399999999998</v>
      </c>
      <c r="J122" s="3">
        <v>8.5999999999999993E-2</v>
      </c>
      <c r="K122" s="3">
        <v>55.616</v>
      </c>
      <c r="L122" s="3">
        <v>1.415</v>
      </c>
      <c r="M122" s="3">
        <v>5.0430000000000001</v>
      </c>
      <c r="N122" s="3">
        <v>0.54520000000000002</v>
      </c>
      <c r="O122" s="3">
        <v>23.436</v>
      </c>
      <c r="P122" s="3">
        <v>307.24</v>
      </c>
      <c r="Q122" s="3">
        <v>179.02600000000001</v>
      </c>
      <c r="R122" s="3">
        <v>3.9211680000000002</v>
      </c>
      <c r="S122" s="5"/>
      <c r="U122" s="5"/>
      <c r="V122" s="5"/>
    </row>
    <row r="123" spans="1:22" x14ac:dyDescent="0.2">
      <c r="A123" s="1">
        <v>38</v>
      </c>
      <c r="B123" s="7" t="s">
        <v>198</v>
      </c>
      <c r="D123" t="s">
        <v>260</v>
      </c>
      <c r="E123" t="s">
        <v>57</v>
      </c>
      <c r="F123" s="3">
        <v>354.18</v>
      </c>
      <c r="G123" s="3">
        <v>7.4860000000000007</v>
      </c>
      <c r="H123" s="3">
        <v>103.28</v>
      </c>
      <c r="I123" s="3">
        <v>1.1095999999999999</v>
      </c>
      <c r="J123" s="3">
        <v>0.22820000000000001</v>
      </c>
      <c r="K123" s="3">
        <v>54.690000000000005</v>
      </c>
      <c r="L123" s="3">
        <v>0.73499999999999999</v>
      </c>
      <c r="M123" s="3">
        <v>11.407</v>
      </c>
      <c r="N123" s="3">
        <v>0.19500000000000001</v>
      </c>
      <c r="O123" s="3">
        <v>54.335999999999999</v>
      </c>
      <c r="P123" s="3">
        <v>338.42</v>
      </c>
      <c r="Q123" s="3">
        <v>249.98</v>
      </c>
      <c r="R123" s="3">
        <v>3.8189760000000001</v>
      </c>
      <c r="S123" s="5"/>
      <c r="U123" s="5"/>
      <c r="V123" s="5"/>
    </row>
    <row r="124" spans="1:22" x14ac:dyDescent="0.2">
      <c r="A124" s="1">
        <v>42</v>
      </c>
      <c r="B124" s="7" t="s">
        <v>198</v>
      </c>
      <c r="D124" t="s">
        <v>260</v>
      </c>
      <c r="E124" t="s">
        <v>61</v>
      </c>
      <c r="F124" s="3">
        <v>184.70000000000002</v>
      </c>
      <c r="G124" s="3">
        <v>3.77</v>
      </c>
      <c r="H124" s="3">
        <v>61.118000000000002</v>
      </c>
      <c r="I124" s="3">
        <v>0.50253999999999999</v>
      </c>
      <c r="J124" s="3">
        <v>0.13880000000000001</v>
      </c>
      <c r="K124" s="3">
        <v>23.777999999999999</v>
      </c>
      <c r="L124" s="3">
        <v>0.375</v>
      </c>
      <c r="M124" s="3">
        <v>8.1420000000000012</v>
      </c>
      <c r="N124" s="3">
        <v>0.42320000000000002</v>
      </c>
      <c r="O124" s="3">
        <v>33.834000000000003</v>
      </c>
      <c r="P124" s="3">
        <v>173.45</v>
      </c>
      <c r="Q124" s="3">
        <v>166.53399999999999</v>
      </c>
      <c r="R124" s="3">
        <v>2.1286879999999999</v>
      </c>
      <c r="S124" s="5"/>
      <c r="U124" s="5"/>
      <c r="V124" s="5"/>
    </row>
    <row r="125" spans="1:22" x14ac:dyDescent="0.2">
      <c r="A125" s="1">
        <v>20</v>
      </c>
      <c r="B125" s="7" t="s">
        <v>198</v>
      </c>
      <c r="D125" t="s">
        <v>260</v>
      </c>
      <c r="E125" t="s">
        <v>39</v>
      </c>
      <c r="F125" s="3">
        <v>312.8</v>
      </c>
      <c r="G125" s="3">
        <v>6.8829999999999991</v>
      </c>
      <c r="H125" s="3">
        <v>79.35799999999999</v>
      </c>
      <c r="I125" s="3">
        <v>1.3959999999999999</v>
      </c>
      <c r="J125" s="3">
        <v>0.13200000000000001</v>
      </c>
      <c r="K125" s="3">
        <v>55.934999999999995</v>
      </c>
      <c r="L125" s="3">
        <v>2.4349999999999996</v>
      </c>
      <c r="M125" s="3">
        <v>6.218</v>
      </c>
      <c r="N125" s="3">
        <v>1.147</v>
      </c>
      <c r="O125" s="3">
        <v>33.695999999999998</v>
      </c>
      <c r="P125" s="3">
        <v>237.38000000000002</v>
      </c>
      <c r="Q125" s="3">
        <v>233.90325000000001</v>
      </c>
      <c r="R125" s="3">
        <v>3.6214240000000002</v>
      </c>
      <c r="S125" s="5"/>
      <c r="U125" s="5"/>
      <c r="V125" s="5"/>
    </row>
    <row r="126" spans="1:22" x14ac:dyDescent="0.2">
      <c r="A126" s="1">
        <v>15</v>
      </c>
      <c r="B126" s="7" t="s">
        <v>198</v>
      </c>
      <c r="D126" t="s">
        <v>260</v>
      </c>
      <c r="E126" t="s">
        <v>34</v>
      </c>
      <c r="F126" s="3">
        <v>199.69200000000004</v>
      </c>
      <c r="G126" s="3">
        <v>4.7520999999999995</v>
      </c>
      <c r="H126" s="3">
        <v>70.158000000000001</v>
      </c>
      <c r="I126" s="3">
        <v>0.95219999999999994</v>
      </c>
      <c r="J126" s="3">
        <v>0.13200000000000001</v>
      </c>
      <c r="K126" s="3">
        <v>30.781700000000001</v>
      </c>
      <c r="L126" s="3">
        <v>1.391</v>
      </c>
      <c r="M126" s="3">
        <v>5.9590000000000005</v>
      </c>
      <c r="N126" s="3">
        <v>1.159</v>
      </c>
      <c r="O126" s="3">
        <v>47.89</v>
      </c>
      <c r="P126" s="3">
        <v>167.02</v>
      </c>
      <c r="Q126" s="3">
        <v>184.33425</v>
      </c>
      <c r="R126" s="3">
        <v>2.6120992000000003</v>
      </c>
      <c r="S126" s="5"/>
      <c r="U126" s="5"/>
      <c r="V126" s="5"/>
    </row>
    <row r="127" spans="1:22" x14ac:dyDescent="0.2">
      <c r="A127" s="1">
        <v>63</v>
      </c>
      <c r="B127" s="7" t="s">
        <v>198</v>
      </c>
      <c r="D127" t="s">
        <v>260</v>
      </c>
      <c r="E127" t="s">
        <v>82</v>
      </c>
      <c r="F127" s="3">
        <v>387.57</v>
      </c>
      <c r="G127" s="3">
        <v>13.045999999999998</v>
      </c>
      <c r="H127" s="3">
        <v>102.83199999999999</v>
      </c>
      <c r="I127" s="3">
        <v>1.7849999999999999</v>
      </c>
      <c r="J127" s="3">
        <v>0.59850000000000003</v>
      </c>
      <c r="K127" s="3">
        <v>56.531500000000001</v>
      </c>
      <c r="L127" s="3">
        <v>1.95</v>
      </c>
      <c r="M127" s="3">
        <v>11.6355</v>
      </c>
      <c r="N127" s="3">
        <v>1.3794999999999999</v>
      </c>
      <c r="O127" s="3">
        <v>122.14599999999999</v>
      </c>
      <c r="P127" s="3">
        <v>416.57</v>
      </c>
      <c r="Q127" s="3">
        <v>482.59800000000001</v>
      </c>
      <c r="R127" s="3">
        <v>8.2520800000000012</v>
      </c>
      <c r="S127" s="5"/>
      <c r="U127" s="5"/>
      <c r="V127" s="5"/>
    </row>
    <row r="128" spans="1:22" x14ac:dyDescent="0.2">
      <c r="A128" s="1">
        <v>34</v>
      </c>
      <c r="B128" s="7" t="s">
        <v>198</v>
      </c>
      <c r="D128" t="s">
        <v>260</v>
      </c>
      <c r="E128" t="s">
        <v>53</v>
      </c>
      <c r="F128" s="3">
        <v>323.71000000000004</v>
      </c>
      <c r="G128" s="3">
        <v>7.9435999999999991</v>
      </c>
      <c r="H128" s="3">
        <v>124.348</v>
      </c>
      <c r="I128" s="3">
        <v>1.8146</v>
      </c>
      <c r="J128" s="3">
        <v>0.13200000000000001</v>
      </c>
      <c r="K128" s="3">
        <v>56.809600000000003</v>
      </c>
      <c r="L128" s="3">
        <v>2.7140000000000004</v>
      </c>
      <c r="M128" s="3">
        <v>6.511000000000001</v>
      </c>
      <c r="N128" s="3">
        <v>1.9750000000000001</v>
      </c>
      <c r="O128" s="3">
        <v>46.346000000000004</v>
      </c>
      <c r="P128" s="3">
        <v>246.54</v>
      </c>
      <c r="Q128" s="3">
        <v>237.13200000000001</v>
      </c>
      <c r="R128" s="3">
        <v>5.1826271999999998</v>
      </c>
      <c r="S128" s="5"/>
      <c r="U128" s="5"/>
      <c r="V128" s="5"/>
    </row>
    <row r="129" spans="1:22" x14ac:dyDescent="0.2">
      <c r="A129" s="1">
        <v>44</v>
      </c>
      <c r="B129" s="7" t="s">
        <v>198</v>
      </c>
      <c r="D129" t="s">
        <v>260</v>
      </c>
      <c r="E129" t="s">
        <v>63</v>
      </c>
      <c r="F129" s="3">
        <v>335.19799999999998</v>
      </c>
      <c r="G129" s="3">
        <v>7.615899999999999</v>
      </c>
      <c r="H129" s="3">
        <v>77.64</v>
      </c>
      <c r="I129" s="3">
        <v>1.6060800000000002</v>
      </c>
      <c r="J129" s="3">
        <v>0.11069999999999999</v>
      </c>
      <c r="K129" s="3">
        <v>57.780299999999997</v>
      </c>
      <c r="L129" s="3">
        <v>2.7410000000000005</v>
      </c>
      <c r="M129" s="3">
        <v>7.5679999999999996</v>
      </c>
      <c r="N129" s="3">
        <v>2.4619000000000004</v>
      </c>
      <c r="O129" s="3">
        <v>67.686000000000007</v>
      </c>
      <c r="P129" s="3">
        <v>262.19</v>
      </c>
      <c r="Q129" s="3">
        <v>262.31600000000003</v>
      </c>
      <c r="R129" s="3">
        <v>3.5692127999999999</v>
      </c>
      <c r="S129" s="5"/>
      <c r="U129" s="5"/>
      <c r="V129" s="5"/>
    </row>
    <row r="130" spans="1:22" x14ac:dyDescent="0.2">
      <c r="A130" s="1">
        <v>17</v>
      </c>
      <c r="B130" s="7" t="s">
        <v>198</v>
      </c>
      <c r="D130" t="s">
        <v>260</v>
      </c>
      <c r="E130" t="s">
        <v>36</v>
      </c>
      <c r="F130" s="3">
        <v>304.10000000000002</v>
      </c>
      <c r="G130" s="3">
        <v>6.552999999999999</v>
      </c>
      <c r="H130" s="3">
        <v>73.35799999999999</v>
      </c>
      <c r="I130" s="3">
        <v>1.1259999999999999</v>
      </c>
      <c r="J130" s="3">
        <v>0.13200000000000001</v>
      </c>
      <c r="K130" s="3">
        <v>54.884999999999998</v>
      </c>
      <c r="L130" s="3">
        <v>0.78500000000000003</v>
      </c>
      <c r="M130" s="3">
        <v>6.1880000000000006</v>
      </c>
      <c r="N130" s="3">
        <v>0.39700000000000002</v>
      </c>
      <c r="O130" s="3">
        <v>33.695999999999998</v>
      </c>
      <c r="P130" s="3">
        <v>230.18000000000004</v>
      </c>
      <c r="Q130" s="3">
        <v>221.90325000000001</v>
      </c>
      <c r="R130" s="3">
        <v>3.1356640000000002</v>
      </c>
      <c r="S130" s="5"/>
      <c r="U130" s="5"/>
      <c r="V130" s="5"/>
    </row>
    <row r="131" spans="1:22" x14ac:dyDescent="0.2">
      <c r="A131" s="1">
        <v>16</v>
      </c>
      <c r="B131" s="7" t="s">
        <v>198</v>
      </c>
      <c r="D131" t="s">
        <v>260</v>
      </c>
      <c r="E131" t="s">
        <v>35</v>
      </c>
      <c r="F131" s="3">
        <v>321.10200000000003</v>
      </c>
      <c r="G131" s="3">
        <v>7.4530999999999992</v>
      </c>
      <c r="H131" s="3">
        <v>92.408000000000001</v>
      </c>
      <c r="I131" s="3">
        <v>1.7552000000000001</v>
      </c>
      <c r="J131" s="3">
        <v>0.13200000000000001</v>
      </c>
      <c r="K131" s="3">
        <v>56.8247</v>
      </c>
      <c r="L131" s="3">
        <v>1.98</v>
      </c>
      <c r="M131" s="3">
        <v>6.447000000000001</v>
      </c>
      <c r="N131" s="3">
        <v>2.2269999999999999</v>
      </c>
      <c r="O131" s="3">
        <v>127.026</v>
      </c>
      <c r="P131" s="3">
        <v>336.02</v>
      </c>
      <c r="Q131" s="3">
        <v>244.71225000000001</v>
      </c>
      <c r="R131" s="3">
        <v>4.4606111999999998</v>
      </c>
      <c r="S131" s="5"/>
      <c r="U131" s="5"/>
      <c r="V131" s="5"/>
    </row>
    <row r="132" spans="1:22" x14ac:dyDescent="0.2">
      <c r="A132" s="1">
        <v>21</v>
      </c>
      <c r="B132" s="7" t="s">
        <v>198</v>
      </c>
      <c r="D132" t="s">
        <v>260</v>
      </c>
      <c r="E132" t="s">
        <v>40</v>
      </c>
      <c r="F132" s="3">
        <v>309.05</v>
      </c>
      <c r="G132" s="3">
        <v>6.9219999999999988</v>
      </c>
      <c r="H132" s="3">
        <v>78.968000000000004</v>
      </c>
      <c r="I132" s="3">
        <v>1.2339999999999998</v>
      </c>
      <c r="J132" s="3">
        <v>0.13200000000000001</v>
      </c>
      <c r="K132" s="3">
        <v>55.424999999999997</v>
      </c>
      <c r="L132" s="3">
        <v>1.1000000000000001</v>
      </c>
      <c r="M132" s="3">
        <v>6.266</v>
      </c>
      <c r="N132" s="3">
        <v>0.93399999999999994</v>
      </c>
      <c r="O132" s="3">
        <v>36.396000000000001</v>
      </c>
      <c r="P132" s="3">
        <v>251.18000000000004</v>
      </c>
      <c r="Q132" s="3">
        <v>231.98325000000003</v>
      </c>
      <c r="R132" s="3">
        <v>3.6788319999999999</v>
      </c>
      <c r="S132" s="5"/>
      <c r="U132" s="5"/>
      <c r="V132" s="5"/>
    </row>
    <row r="133" spans="1:22" x14ac:dyDescent="0.2">
      <c r="A133" s="1">
        <v>150</v>
      </c>
      <c r="B133" s="8" t="s">
        <v>203</v>
      </c>
      <c r="C133" s="14" t="s">
        <v>209</v>
      </c>
      <c r="D133" s="34" t="s">
        <v>256</v>
      </c>
      <c r="E133" s="14" t="s">
        <v>169</v>
      </c>
      <c r="F133" s="3">
        <v>78.62</v>
      </c>
      <c r="G133" s="3">
        <v>1.4770000000000001</v>
      </c>
      <c r="H133" s="3">
        <v>43.61</v>
      </c>
      <c r="I133" s="3">
        <v>0.5585</v>
      </c>
      <c r="J133" s="3">
        <v>0</v>
      </c>
      <c r="K133" s="3">
        <v>4.9249999999999998</v>
      </c>
      <c r="L133" s="3">
        <v>2.6100000000000003</v>
      </c>
      <c r="M133" s="3">
        <v>5.5449999999999999</v>
      </c>
      <c r="N133" s="3">
        <v>4.16</v>
      </c>
      <c r="O133" s="3">
        <v>28.549999999999997</v>
      </c>
      <c r="P133" s="3">
        <v>60.85</v>
      </c>
      <c r="Q133" s="3">
        <v>97.577500000000001</v>
      </c>
      <c r="R133" s="3">
        <v>2.1741439999999996</v>
      </c>
      <c r="S133" s="5"/>
      <c r="U133" s="5"/>
      <c r="V133" s="5"/>
    </row>
    <row r="134" spans="1:22" x14ac:dyDescent="0.2">
      <c r="A134" s="1">
        <v>149</v>
      </c>
      <c r="B134" s="8" t="s">
        <v>203</v>
      </c>
      <c r="C134" s="14" t="s">
        <v>209</v>
      </c>
      <c r="D134" s="34" t="s">
        <v>256</v>
      </c>
      <c r="E134" s="14" t="s">
        <v>168</v>
      </c>
      <c r="F134" s="3">
        <v>74.59</v>
      </c>
      <c r="G134" s="3">
        <v>1.3039999999999998</v>
      </c>
      <c r="H134" s="3">
        <v>31.152000000000001</v>
      </c>
      <c r="I134" s="3">
        <v>0.45850000000000002</v>
      </c>
      <c r="J134" s="3">
        <v>0</v>
      </c>
      <c r="K134" s="3">
        <v>4.3499999999999996</v>
      </c>
      <c r="L134" s="3">
        <v>1.93</v>
      </c>
      <c r="M134" s="3">
        <v>5.4830000000000005</v>
      </c>
      <c r="N134" s="3">
        <v>3.7840000000000003</v>
      </c>
      <c r="O134" s="3">
        <v>18.716000000000001</v>
      </c>
      <c r="P134" s="3">
        <v>58.849999999999994</v>
      </c>
      <c r="Q134" s="3">
        <v>95.708350000099998</v>
      </c>
      <c r="R134" s="3">
        <v>1.9194879999999999</v>
      </c>
      <c r="S134" s="5"/>
      <c r="U134" s="5"/>
      <c r="V134" s="5"/>
    </row>
    <row r="135" spans="1:22" x14ac:dyDescent="0.2">
      <c r="A135" s="1">
        <v>162</v>
      </c>
      <c r="B135" s="8" t="s">
        <v>203</v>
      </c>
      <c r="C135" s="14" t="s">
        <v>209</v>
      </c>
      <c r="D135" s="34" t="s">
        <v>256</v>
      </c>
      <c r="E135" s="14" t="s">
        <v>188</v>
      </c>
      <c r="F135" s="3">
        <v>106.38999999999999</v>
      </c>
      <c r="G135" s="3">
        <v>6.3789999999999996</v>
      </c>
      <c r="H135" s="3">
        <v>157.08999999999997</v>
      </c>
      <c r="I135" s="3">
        <v>4.3552999999999988</v>
      </c>
      <c r="J135" s="3">
        <v>0.11410000000000001</v>
      </c>
      <c r="K135" s="3">
        <v>4.3949999999999996</v>
      </c>
      <c r="L135" s="3">
        <v>2.85</v>
      </c>
      <c r="M135" s="3">
        <v>6.4349999999999996</v>
      </c>
      <c r="N135" s="3">
        <v>0.64149999999999996</v>
      </c>
      <c r="O135" s="3">
        <v>176.37</v>
      </c>
      <c r="P135" s="3">
        <v>143.56</v>
      </c>
      <c r="Q135" s="3">
        <v>112.895</v>
      </c>
      <c r="R135" s="3">
        <v>8.5099359999999997</v>
      </c>
      <c r="S135" s="5"/>
      <c r="U135" s="5"/>
      <c r="V135" s="5"/>
    </row>
    <row r="136" spans="1:22" x14ac:dyDescent="0.2">
      <c r="A136" s="1">
        <v>33</v>
      </c>
      <c r="B136" s="7" t="s">
        <v>198</v>
      </c>
      <c r="D136" t="s">
        <v>261</v>
      </c>
      <c r="E136" t="s">
        <v>52</v>
      </c>
      <c r="F136" s="3">
        <v>221.79999999999998</v>
      </c>
      <c r="G136" s="3">
        <v>5.7829999999999995</v>
      </c>
      <c r="H136" s="3">
        <v>105.96799999999999</v>
      </c>
      <c r="I136" s="3">
        <v>1.3960000000000001</v>
      </c>
      <c r="J136" s="3">
        <v>0.13200000000000001</v>
      </c>
      <c r="K136" s="3">
        <v>34.64</v>
      </c>
      <c r="L136" s="3">
        <v>2.5549999999999997</v>
      </c>
      <c r="M136" s="3">
        <v>5.9670000000000005</v>
      </c>
      <c r="N136" s="3">
        <v>2.036</v>
      </c>
      <c r="O136" s="3">
        <v>32.548000000000002</v>
      </c>
      <c r="P136" s="3">
        <v>165.08</v>
      </c>
      <c r="Q136" s="3">
        <v>201.06</v>
      </c>
      <c r="R136" s="3">
        <v>3.6388320000000007</v>
      </c>
      <c r="S136" s="5"/>
      <c r="U136" s="5"/>
      <c r="V136" s="5"/>
    </row>
    <row r="137" spans="1:22" x14ac:dyDescent="0.2">
      <c r="A137" s="1">
        <v>28</v>
      </c>
      <c r="B137" s="7" t="s">
        <v>198</v>
      </c>
      <c r="D137" t="s">
        <v>261</v>
      </c>
      <c r="E137" t="s">
        <v>47</v>
      </c>
      <c r="F137" s="3">
        <v>190.44500000000002</v>
      </c>
      <c r="G137" s="3">
        <v>6.0574999999999992</v>
      </c>
      <c r="H137" s="3">
        <v>71.322999999999993</v>
      </c>
      <c r="I137" s="3">
        <v>1.4135</v>
      </c>
      <c r="J137" s="3">
        <v>0.13200000000000001</v>
      </c>
      <c r="K137" s="3">
        <v>26.5685</v>
      </c>
      <c r="L137" s="3">
        <v>3.0754999999999999</v>
      </c>
      <c r="M137" s="3">
        <v>5.9860000000000007</v>
      </c>
      <c r="N137" s="3">
        <v>2.2150000000000003</v>
      </c>
      <c r="O137" s="3">
        <v>101.18400000000001</v>
      </c>
      <c r="P137" s="3">
        <v>180.08</v>
      </c>
      <c r="Q137" s="3">
        <v>241.18824999999998</v>
      </c>
      <c r="R137" s="3">
        <v>2.8540320000000001</v>
      </c>
      <c r="S137" s="5"/>
      <c r="U137" s="5"/>
      <c r="V137" s="5"/>
    </row>
    <row r="138" spans="1:22" x14ac:dyDescent="0.2">
      <c r="A138" s="1">
        <v>32</v>
      </c>
      <c r="B138" s="7" t="s">
        <v>198</v>
      </c>
      <c r="D138" t="s">
        <v>261</v>
      </c>
      <c r="E138" t="s">
        <v>51</v>
      </c>
      <c r="F138" s="3">
        <v>182.9</v>
      </c>
      <c r="G138" s="3">
        <v>5.7269999999999994</v>
      </c>
      <c r="H138" s="3">
        <v>105.70799999999998</v>
      </c>
      <c r="I138" s="3">
        <v>2.2179999999999995</v>
      </c>
      <c r="J138" s="3">
        <v>0.13200000000000001</v>
      </c>
      <c r="K138" s="3">
        <v>25.139999999999997</v>
      </c>
      <c r="L138" s="3">
        <v>1.4549999999999998</v>
      </c>
      <c r="M138" s="3">
        <v>6.2390000000000008</v>
      </c>
      <c r="N138" s="3">
        <v>0.28799999999999998</v>
      </c>
      <c r="O138" s="3">
        <v>92.284000000000006</v>
      </c>
      <c r="P138" s="3">
        <v>161.88000000000002</v>
      </c>
      <c r="Q138" s="3">
        <v>174.09199999999998</v>
      </c>
      <c r="R138" s="3">
        <v>5.0286560000000007</v>
      </c>
      <c r="S138" s="5"/>
      <c r="U138" s="5"/>
      <c r="V138" s="5"/>
    </row>
    <row r="139" spans="1:22" x14ac:dyDescent="0.2">
      <c r="A139" s="1">
        <v>25</v>
      </c>
      <c r="B139" s="7" t="s">
        <v>198</v>
      </c>
      <c r="D139" t="s">
        <v>261</v>
      </c>
      <c r="E139" t="s">
        <v>44</v>
      </c>
      <c r="F139" s="3">
        <v>309.29000000000002</v>
      </c>
      <c r="G139" s="3">
        <v>14.3446</v>
      </c>
      <c r="H139" s="3">
        <v>117.876</v>
      </c>
      <c r="I139" s="3">
        <v>3.9591000000000003</v>
      </c>
      <c r="J139" s="3">
        <v>0.13200000000000001</v>
      </c>
      <c r="K139" s="3">
        <v>43.194000000000003</v>
      </c>
      <c r="L139" s="3">
        <v>8.1750000000000007</v>
      </c>
      <c r="M139" s="3">
        <v>7.1869999999999994</v>
      </c>
      <c r="N139" s="3">
        <v>2.7409999999999997</v>
      </c>
      <c r="O139" s="3">
        <v>85.236000000000004</v>
      </c>
      <c r="P139" s="3">
        <v>148.20000000000002</v>
      </c>
      <c r="Q139" s="3">
        <v>350.55574999999999</v>
      </c>
      <c r="R139" s="3">
        <v>5.1650271999999999</v>
      </c>
      <c r="S139" s="5"/>
      <c r="U139" s="5"/>
      <c r="V139" s="5"/>
    </row>
    <row r="140" spans="1:22" x14ac:dyDescent="0.2">
      <c r="A140" s="1">
        <v>24</v>
      </c>
      <c r="B140" s="7" t="s">
        <v>198</v>
      </c>
      <c r="D140" t="s">
        <v>261</v>
      </c>
      <c r="E140" t="s">
        <v>43</v>
      </c>
      <c r="F140" s="3">
        <v>279.565</v>
      </c>
      <c r="G140" s="3">
        <v>11.571</v>
      </c>
      <c r="H140" s="3">
        <v>108.31100000000001</v>
      </c>
      <c r="I140" s="3">
        <v>3.4710000000000001</v>
      </c>
      <c r="J140" s="3">
        <v>0.13200000000000001</v>
      </c>
      <c r="K140" s="3">
        <v>43.504999999999995</v>
      </c>
      <c r="L140" s="3">
        <v>6.5200000000000005</v>
      </c>
      <c r="M140" s="3">
        <v>5.4180000000000001</v>
      </c>
      <c r="N140" s="3">
        <v>1.841</v>
      </c>
      <c r="O140" s="3">
        <v>40.488</v>
      </c>
      <c r="P140" s="3">
        <v>163.41000000000003</v>
      </c>
      <c r="Q140" s="3">
        <v>316.77575000000002</v>
      </c>
      <c r="R140" s="3">
        <v>4.1235679999999997</v>
      </c>
      <c r="S140" s="5"/>
      <c r="U140" s="5"/>
      <c r="V140" s="5"/>
    </row>
    <row r="141" spans="1:22" x14ac:dyDescent="0.2">
      <c r="A141" s="1">
        <v>46</v>
      </c>
      <c r="B141" s="7" t="s">
        <v>198</v>
      </c>
      <c r="D141" t="s">
        <v>261</v>
      </c>
      <c r="E141" t="s">
        <v>65</v>
      </c>
      <c r="F141" s="3">
        <v>191.18</v>
      </c>
      <c r="G141" s="3">
        <v>6.8449999999999989</v>
      </c>
      <c r="H141" s="3">
        <v>61.555999999999997</v>
      </c>
      <c r="I141" s="3">
        <v>1.2455000000000001</v>
      </c>
      <c r="J141" s="3">
        <v>0.16619999999999999</v>
      </c>
      <c r="K141" s="3">
        <v>26.804999999999996</v>
      </c>
      <c r="L141" s="3">
        <v>2.7199999999999998</v>
      </c>
      <c r="M141" s="3">
        <v>5.51</v>
      </c>
      <c r="N141" s="3">
        <v>2.4330000000000003</v>
      </c>
      <c r="O141" s="3">
        <v>33.122</v>
      </c>
      <c r="P141" s="3">
        <v>186.82999999999998</v>
      </c>
      <c r="Q141" s="3">
        <v>181.92075</v>
      </c>
      <c r="R141" s="3">
        <v>4.7330079999999999</v>
      </c>
      <c r="S141" s="5"/>
      <c r="U141" s="5"/>
      <c r="V141" s="5"/>
    </row>
    <row r="142" spans="1:22" x14ac:dyDescent="0.2">
      <c r="A142" s="1">
        <v>59</v>
      </c>
      <c r="B142" s="7" t="s">
        <v>198</v>
      </c>
      <c r="D142" t="s">
        <v>263</v>
      </c>
      <c r="E142" t="s">
        <v>78</v>
      </c>
      <c r="F142" s="3">
        <v>383.18</v>
      </c>
      <c r="G142" s="3">
        <v>17.588000000000001</v>
      </c>
      <c r="H142" s="3">
        <v>216.98000000000002</v>
      </c>
      <c r="I142" s="3">
        <v>1.3606</v>
      </c>
      <c r="J142" s="3">
        <v>0.22820000000000001</v>
      </c>
      <c r="K142" s="3">
        <v>33.840000000000003</v>
      </c>
      <c r="L142" s="3">
        <v>1.71</v>
      </c>
      <c r="M142" s="3">
        <v>19.68</v>
      </c>
      <c r="N142" s="3">
        <v>2.2430000000000003</v>
      </c>
      <c r="O142" s="3">
        <v>1087.74</v>
      </c>
      <c r="P142" s="3">
        <v>365.12</v>
      </c>
      <c r="Q142" s="3">
        <v>803.02900000000011</v>
      </c>
      <c r="R142" s="3">
        <v>17.636672000000001</v>
      </c>
      <c r="S142" s="5"/>
      <c r="U142" s="5"/>
      <c r="V142" s="5"/>
    </row>
    <row r="143" spans="1:22" x14ac:dyDescent="0.2">
      <c r="A143" s="1">
        <v>62</v>
      </c>
      <c r="B143" s="7" t="s">
        <v>198</v>
      </c>
      <c r="D143" t="s">
        <v>263</v>
      </c>
      <c r="E143" t="s">
        <v>81</v>
      </c>
      <c r="F143" s="3">
        <v>356.58</v>
      </c>
      <c r="G143" s="3">
        <v>15.091999999999999</v>
      </c>
      <c r="H143" s="3">
        <v>137.87600000000003</v>
      </c>
      <c r="I143" s="3">
        <v>1.3535600000000001</v>
      </c>
      <c r="J143" s="3">
        <v>1.0200000000000001E-2</v>
      </c>
      <c r="K143" s="3">
        <v>33.804000000000002</v>
      </c>
      <c r="L143" s="3">
        <v>1.71</v>
      </c>
      <c r="M143" s="3">
        <v>17.880000000000003</v>
      </c>
      <c r="N143" s="3">
        <v>2.2098</v>
      </c>
      <c r="O143" s="3">
        <v>1036.7</v>
      </c>
      <c r="P143" s="3">
        <v>243.96</v>
      </c>
      <c r="Q143" s="3">
        <v>756.45500000000004</v>
      </c>
      <c r="R143" s="3">
        <v>15.693568000000001</v>
      </c>
      <c r="S143" s="5"/>
      <c r="U143" s="5"/>
      <c r="V143" s="5"/>
    </row>
    <row r="144" spans="1:22" x14ac:dyDescent="0.2">
      <c r="A144" s="1">
        <v>61</v>
      </c>
      <c r="B144" s="7" t="s">
        <v>198</v>
      </c>
      <c r="D144" t="s">
        <v>263</v>
      </c>
      <c r="E144" t="s">
        <v>80</v>
      </c>
      <c r="F144" s="3">
        <v>344.38</v>
      </c>
      <c r="G144" s="3">
        <v>16.994599999999998</v>
      </c>
      <c r="H144" s="3">
        <v>188.92800000000003</v>
      </c>
      <c r="I144" s="3">
        <v>2.0246000000000004</v>
      </c>
      <c r="J144" s="3">
        <v>7.9199999999999993E-2</v>
      </c>
      <c r="K144" s="3">
        <v>36.421600000000005</v>
      </c>
      <c r="L144" s="3">
        <v>3.1100000000000003</v>
      </c>
      <c r="M144" s="3">
        <v>14.127999999999998</v>
      </c>
      <c r="N144" s="3">
        <v>4.6520000000000001</v>
      </c>
      <c r="O144" s="3">
        <v>1151.04</v>
      </c>
      <c r="P144" s="3">
        <v>339.65999999999997</v>
      </c>
      <c r="Q144" s="3">
        <v>779.29100000000005</v>
      </c>
      <c r="R144" s="3">
        <v>17.881187200000006</v>
      </c>
      <c r="S144" s="5"/>
      <c r="U144" s="5"/>
      <c r="V144" s="5"/>
    </row>
    <row r="145" spans="1:22" x14ac:dyDescent="0.2">
      <c r="A145" s="1">
        <v>141</v>
      </c>
      <c r="B145" s="6" t="s">
        <v>202</v>
      </c>
      <c r="C145" s="13" t="s">
        <v>208</v>
      </c>
      <c r="D145" s="34" t="s">
        <v>247</v>
      </c>
      <c r="E145" s="13" t="s">
        <v>160</v>
      </c>
      <c r="F145" s="3">
        <v>96</v>
      </c>
      <c r="G145" s="3">
        <v>15.65</v>
      </c>
      <c r="H145" s="3">
        <v>0.5</v>
      </c>
      <c r="I145" s="3">
        <v>0.25</v>
      </c>
      <c r="J145" s="3">
        <v>1.2250000000000001</v>
      </c>
      <c r="K145" s="3">
        <v>0.505</v>
      </c>
      <c r="L145" s="3">
        <v>0</v>
      </c>
      <c r="M145" s="3">
        <v>3.4750000000000001</v>
      </c>
      <c r="N145" s="3">
        <v>0</v>
      </c>
      <c r="O145" s="3">
        <v>135</v>
      </c>
      <c r="P145" s="3">
        <v>500</v>
      </c>
      <c r="Q145" s="3">
        <v>464.3</v>
      </c>
      <c r="R145" s="3">
        <v>14.523199999999999</v>
      </c>
      <c r="S145" s="5"/>
      <c r="U145" s="5"/>
      <c r="V145" s="5"/>
    </row>
    <row r="146" spans="1:22" x14ac:dyDescent="0.2">
      <c r="A146" s="1">
        <v>136</v>
      </c>
      <c r="B146" s="6" t="s">
        <v>202</v>
      </c>
      <c r="C146" s="13" t="s">
        <v>208</v>
      </c>
      <c r="D146" s="34" t="s">
        <v>247</v>
      </c>
      <c r="E146" s="13" t="s">
        <v>155</v>
      </c>
      <c r="F146" s="3">
        <v>185.8</v>
      </c>
      <c r="G146" s="3">
        <v>18.469000000000001</v>
      </c>
      <c r="H146" s="3">
        <v>17.765999999999998</v>
      </c>
      <c r="I146" s="3">
        <v>0.95560000000000012</v>
      </c>
      <c r="J146" s="3">
        <v>1.399</v>
      </c>
      <c r="K146" s="3">
        <v>8.7424000000000017</v>
      </c>
      <c r="L146" s="3">
        <v>0.9</v>
      </c>
      <c r="M146" s="3">
        <v>8.2446000000000002</v>
      </c>
      <c r="N146" s="3">
        <v>0.52739999999999998</v>
      </c>
      <c r="O146" s="3">
        <v>174.4</v>
      </c>
      <c r="P146" s="3">
        <v>560.6</v>
      </c>
      <c r="Q146" s="3">
        <v>566.37599999999998</v>
      </c>
      <c r="R146" s="3">
        <v>16.359535999999999</v>
      </c>
      <c r="S146" s="5"/>
      <c r="U146" s="5"/>
      <c r="V146" s="5"/>
    </row>
    <row r="147" spans="1:22" x14ac:dyDescent="0.2">
      <c r="A147" s="1">
        <v>134</v>
      </c>
      <c r="B147" s="6" t="s">
        <v>202</v>
      </c>
      <c r="C147" s="13" t="s">
        <v>208</v>
      </c>
      <c r="D147" s="34" t="s">
        <v>247</v>
      </c>
      <c r="E147" s="13" t="s">
        <v>153</v>
      </c>
      <c r="F147" s="3">
        <v>148.85</v>
      </c>
      <c r="G147" s="3">
        <v>17.019000000000002</v>
      </c>
      <c r="H147" s="3">
        <v>19.75</v>
      </c>
      <c r="I147" s="3">
        <v>0.79900000000000015</v>
      </c>
      <c r="J147" s="3">
        <v>1.2250000000000001</v>
      </c>
      <c r="K147" s="3">
        <v>10.934000000000001</v>
      </c>
      <c r="L147" s="3">
        <v>1.7600000000000002</v>
      </c>
      <c r="M147" s="3">
        <v>3.7249999999999996</v>
      </c>
      <c r="N147" s="3">
        <v>2.29</v>
      </c>
      <c r="O147" s="3">
        <v>152.72</v>
      </c>
      <c r="P147" s="3">
        <v>522.20000000000005</v>
      </c>
      <c r="Q147" s="3">
        <v>501.21249999999998</v>
      </c>
      <c r="R147" s="3">
        <v>15.311488000000001</v>
      </c>
      <c r="S147" s="5"/>
      <c r="U147" s="5"/>
      <c r="V147" s="5"/>
    </row>
    <row r="148" spans="1:22" x14ac:dyDescent="0.2">
      <c r="A148" s="1">
        <v>107</v>
      </c>
      <c r="B148" s="6" t="s">
        <v>202</v>
      </c>
      <c r="C148" s="12" t="s">
        <v>207</v>
      </c>
      <c r="D148" s="34" t="s">
        <v>250</v>
      </c>
      <c r="E148" s="12" t="s">
        <v>126</v>
      </c>
      <c r="F148" s="3">
        <v>140.77199999999999</v>
      </c>
      <c r="G148" s="3">
        <v>20.305599999999995</v>
      </c>
      <c r="H148" s="3">
        <v>14.127999999999998</v>
      </c>
      <c r="I148" s="3">
        <v>0.78520000000000001</v>
      </c>
      <c r="J148" s="3">
        <v>1.4580000000000002</v>
      </c>
      <c r="K148" s="3">
        <v>1.8122</v>
      </c>
      <c r="L148" s="3">
        <v>0.36399999999999999</v>
      </c>
      <c r="M148" s="3">
        <v>5.7530000000000001</v>
      </c>
      <c r="N148" s="3">
        <v>1.0369999999999999</v>
      </c>
      <c r="O148" s="3">
        <v>101.98</v>
      </c>
      <c r="P148" s="3">
        <v>384.41999999999996</v>
      </c>
      <c r="Q148" s="3">
        <v>450.78724999999997</v>
      </c>
      <c r="R148" s="3">
        <v>13.761843199999999</v>
      </c>
      <c r="S148" s="5"/>
      <c r="U148" s="5"/>
      <c r="V148" s="5"/>
    </row>
    <row r="149" spans="1:22" x14ac:dyDescent="0.2">
      <c r="A149" s="1">
        <v>112</v>
      </c>
      <c r="B149" s="6" t="s">
        <v>202</v>
      </c>
      <c r="C149" s="12" t="s">
        <v>207</v>
      </c>
      <c r="D149" s="34" t="s">
        <v>250</v>
      </c>
      <c r="E149" s="12" t="s">
        <v>131</v>
      </c>
      <c r="F149" s="3">
        <v>136.65</v>
      </c>
      <c r="G149" s="3">
        <v>20.194999999999997</v>
      </c>
      <c r="H149" s="3">
        <v>10.34</v>
      </c>
      <c r="I149" s="3">
        <v>0.73929999999999996</v>
      </c>
      <c r="J149" s="3">
        <v>1.4665000000000001</v>
      </c>
      <c r="K149" s="3">
        <v>0.76500000000000001</v>
      </c>
      <c r="L149" s="3">
        <v>0</v>
      </c>
      <c r="M149" s="3">
        <v>5.8369999999999997</v>
      </c>
      <c r="N149" s="3">
        <v>0.16749999999999998</v>
      </c>
      <c r="O149" s="3">
        <v>96.65</v>
      </c>
      <c r="P149" s="3">
        <v>409.59999999999997</v>
      </c>
      <c r="Q149" s="3">
        <v>417.54500000000002</v>
      </c>
      <c r="R149" s="3">
        <v>13.574959999999999</v>
      </c>
      <c r="S149" s="5"/>
      <c r="U149" s="5"/>
      <c r="V149" s="5"/>
    </row>
    <row r="150" spans="1:22" x14ac:dyDescent="0.2">
      <c r="A150" s="1">
        <v>110</v>
      </c>
      <c r="B150" s="6" t="s">
        <v>202</v>
      </c>
      <c r="C150" s="12" t="s">
        <v>207</v>
      </c>
      <c r="D150" s="34" t="s">
        <v>250</v>
      </c>
      <c r="E150" s="12" t="s">
        <v>129</v>
      </c>
      <c r="F150" s="3">
        <v>135</v>
      </c>
      <c r="G150" s="3">
        <v>20.179999999999996</v>
      </c>
      <c r="H150" s="3">
        <v>9.4579999999999984</v>
      </c>
      <c r="I150" s="3">
        <v>0.74</v>
      </c>
      <c r="J150" s="3">
        <v>1.4580000000000002</v>
      </c>
      <c r="K150" s="3">
        <v>0.72</v>
      </c>
      <c r="L150" s="3">
        <v>0</v>
      </c>
      <c r="M150" s="3">
        <v>5.6880000000000006</v>
      </c>
      <c r="N150" s="3">
        <v>0.126</v>
      </c>
      <c r="O150" s="3">
        <v>95.600000000000009</v>
      </c>
      <c r="P150" s="3">
        <v>380.28</v>
      </c>
      <c r="Q150" s="3">
        <v>446.91199999999998</v>
      </c>
      <c r="R150" s="3">
        <v>13.576959999999998</v>
      </c>
      <c r="S150" s="5"/>
      <c r="U150" s="5"/>
      <c r="V150" s="5"/>
    </row>
    <row r="151" spans="1:22" x14ac:dyDescent="0.2">
      <c r="A151" s="1">
        <v>109</v>
      </c>
      <c r="B151" s="6" t="s">
        <v>202</v>
      </c>
      <c r="C151" s="12" t="s">
        <v>207</v>
      </c>
      <c r="D151" s="34" t="s">
        <v>250</v>
      </c>
      <c r="E151" s="12" t="s">
        <v>128</v>
      </c>
      <c r="F151" s="3">
        <v>149.19999999999999</v>
      </c>
      <c r="G151" s="3">
        <v>20.577999999999996</v>
      </c>
      <c r="H151" s="3">
        <v>10.473999999999998</v>
      </c>
      <c r="I151" s="3">
        <v>0.8</v>
      </c>
      <c r="J151" s="3">
        <v>1.4580000000000002</v>
      </c>
      <c r="K151" s="3">
        <v>3.6479999999999997</v>
      </c>
      <c r="L151" s="3">
        <v>0.16800000000000001</v>
      </c>
      <c r="M151" s="3">
        <v>5.7352000000000007</v>
      </c>
      <c r="N151" s="3">
        <v>0.1968</v>
      </c>
      <c r="O151" s="3">
        <v>95.708800000000011</v>
      </c>
      <c r="P151" s="3">
        <v>382.35999999999996</v>
      </c>
      <c r="Q151" s="3">
        <v>454.30799999999999</v>
      </c>
      <c r="R151" s="3">
        <v>13.723423999999998</v>
      </c>
      <c r="S151" s="5"/>
      <c r="U151" s="5"/>
      <c r="V151" s="5"/>
    </row>
    <row r="152" spans="1:22" x14ac:dyDescent="0.2">
      <c r="A152" s="1">
        <v>113</v>
      </c>
      <c r="B152" s="6" t="s">
        <v>202</v>
      </c>
      <c r="C152" s="12" t="s">
        <v>207</v>
      </c>
      <c r="D152" s="34" t="s">
        <v>250</v>
      </c>
      <c r="E152" s="12" t="s">
        <v>132</v>
      </c>
      <c r="F152" s="3">
        <v>155.035</v>
      </c>
      <c r="G152" s="3">
        <v>20.604499999999994</v>
      </c>
      <c r="H152" s="3">
        <v>15.845000000000001</v>
      </c>
      <c r="I152" s="3">
        <v>0.92749999999999999</v>
      </c>
      <c r="J152" s="3">
        <v>1.4580000000000002</v>
      </c>
      <c r="K152" s="3">
        <v>2.4704999999999999</v>
      </c>
      <c r="L152" s="3">
        <v>0.77049999999999996</v>
      </c>
      <c r="M152" s="3">
        <v>6.8140000000000001</v>
      </c>
      <c r="N152" s="3">
        <v>1.698</v>
      </c>
      <c r="O152" s="3">
        <v>114.2</v>
      </c>
      <c r="P152" s="3">
        <v>415</v>
      </c>
      <c r="Q152" s="3">
        <v>473.91999999999996</v>
      </c>
      <c r="R152" s="3">
        <v>14.201823999999997</v>
      </c>
      <c r="S152" s="5"/>
      <c r="U152" s="5"/>
      <c r="V152" s="5"/>
    </row>
    <row r="153" spans="1:22" x14ac:dyDescent="0.2">
      <c r="A153" s="1">
        <v>86</v>
      </c>
      <c r="B153" s="6" t="s">
        <v>202</v>
      </c>
      <c r="C153" s="11" t="s">
        <v>206</v>
      </c>
      <c r="D153" s="34" t="s">
        <v>254</v>
      </c>
      <c r="E153" s="11" t="s">
        <v>105</v>
      </c>
      <c r="F153" s="3">
        <v>145.29</v>
      </c>
      <c r="G153" s="3">
        <v>20.781000000000006</v>
      </c>
      <c r="H153" s="3">
        <v>27.72</v>
      </c>
      <c r="I153" s="3">
        <v>2.1736</v>
      </c>
      <c r="J153" s="3">
        <v>0.17399999999999999</v>
      </c>
      <c r="K153" s="3">
        <v>5.4784000000000006</v>
      </c>
      <c r="L153" s="3">
        <v>0.22400000000000003</v>
      </c>
      <c r="M153" s="3">
        <v>4.5846</v>
      </c>
      <c r="N153" s="3">
        <v>0.38239999999999996</v>
      </c>
      <c r="O153" s="3">
        <v>128.47999999999999</v>
      </c>
      <c r="P153" s="3">
        <v>2366.7800000000002</v>
      </c>
      <c r="Q153" s="3">
        <v>1429.3019999999999</v>
      </c>
      <c r="R153" s="3">
        <v>27.870672000000003</v>
      </c>
      <c r="S153" s="5"/>
      <c r="U153" s="5"/>
      <c r="V153" s="5"/>
    </row>
    <row r="154" spans="1:22" x14ac:dyDescent="0.2">
      <c r="A154" s="1">
        <v>85</v>
      </c>
      <c r="B154" s="6" t="s">
        <v>202</v>
      </c>
      <c r="C154" s="11" t="s">
        <v>206</v>
      </c>
      <c r="D154" s="34" t="s">
        <v>254</v>
      </c>
      <c r="E154" s="11" t="s">
        <v>104</v>
      </c>
      <c r="F154" s="3">
        <v>142.80000000000001</v>
      </c>
      <c r="G154" s="3">
        <v>19.157000000000004</v>
      </c>
      <c r="H154" s="3">
        <v>12.331999999999999</v>
      </c>
      <c r="I154" s="3">
        <v>1.8920000000000001</v>
      </c>
      <c r="J154" s="3">
        <v>0</v>
      </c>
      <c r="K154" s="3">
        <v>4.3920000000000003</v>
      </c>
      <c r="L154" s="3">
        <v>0.252</v>
      </c>
      <c r="M154" s="3">
        <v>5.3268000000000004</v>
      </c>
      <c r="N154" s="3">
        <v>0.10620000000000002</v>
      </c>
      <c r="O154" s="3">
        <v>85.863200000000006</v>
      </c>
      <c r="P154" s="3">
        <v>2333.6999999999998</v>
      </c>
      <c r="Q154" s="3">
        <v>1431.2660000000001</v>
      </c>
      <c r="R154" s="3">
        <v>26.650096000000001</v>
      </c>
      <c r="S154" s="5"/>
      <c r="U154" s="5"/>
      <c r="V154" s="5"/>
    </row>
    <row r="155" spans="1:22" x14ac:dyDescent="0.2">
      <c r="A155" s="1">
        <v>165</v>
      </c>
      <c r="B155" s="8" t="s">
        <v>203</v>
      </c>
      <c r="C155" s="14" t="s">
        <v>209</v>
      </c>
      <c r="D155" s="34" t="s">
        <v>267</v>
      </c>
      <c r="E155" s="14" t="s">
        <v>191</v>
      </c>
      <c r="F155" s="3">
        <v>103.86</v>
      </c>
      <c r="G155" s="3">
        <v>6.2259999999999991</v>
      </c>
      <c r="H155" s="3">
        <v>96.728000000000009</v>
      </c>
      <c r="I155" s="3">
        <v>1.37104</v>
      </c>
      <c r="J155" s="3">
        <v>0.2104</v>
      </c>
      <c r="K155" s="3">
        <v>7.8619999999999992</v>
      </c>
      <c r="L155" s="3">
        <v>2.8980000000000001</v>
      </c>
      <c r="M155" s="3">
        <v>4.7712000000000003</v>
      </c>
      <c r="N155" s="3">
        <v>4.99</v>
      </c>
      <c r="O155" s="3">
        <v>36.168800000000005</v>
      </c>
      <c r="P155" s="3">
        <v>220.26000000000002</v>
      </c>
      <c r="Q155" s="3">
        <v>375.54200000000003</v>
      </c>
      <c r="R155" s="3">
        <v>7.3988159999999992</v>
      </c>
      <c r="S155" s="5"/>
      <c r="U155" s="5"/>
      <c r="V155" s="5"/>
    </row>
    <row r="156" spans="1:22" x14ac:dyDescent="0.2">
      <c r="A156" s="1">
        <v>166</v>
      </c>
      <c r="B156" s="8" t="s">
        <v>203</v>
      </c>
      <c r="C156" s="14" t="s">
        <v>209</v>
      </c>
      <c r="D156" s="34" t="s">
        <v>267</v>
      </c>
      <c r="E156" s="14" t="s">
        <v>194</v>
      </c>
      <c r="F156" s="3">
        <v>106.75999999999999</v>
      </c>
      <c r="G156" s="3">
        <v>5.0409999999999995</v>
      </c>
      <c r="H156" s="3">
        <v>100.02800000000001</v>
      </c>
      <c r="I156" s="3">
        <v>0.47604000000000002</v>
      </c>
      <c r="J156" s="3">
        <v>0.2104</v>
      </c>
      <c r="K156" s="3">
        <v>7.1569999999999991</v>
      </c>
      <c r="L156" s="3">
        <v>3.468</v>
      </c>
      <c r="M156" s="3">
        <v>5.6912000000000003</v>
      </c>
      <c r="N156" s="3">
        <v>3.6399999999999997</v>
      </c>
      <c r="O156" s="3">
        <v>43.8688</v>
      </c>
      <c r="P156" s="3">
        <v>158.86000000000001</v>
      </c>
      <c r="Q156" s="3">
        <v>138.792</v>
      </c>
      <c r="R156" s="3">
        <v>5.654496</v>
      </c>
      <c r="S156" s="5"/>
      <c r="U156" s="5"/>
      <c r="V156" s="5"/>
    </row>
    <row r="157" spans="1:22" x14ac:dyDescent="0.2">
      <c r="A157" s="1">
        <v>144</v>
      </c>
      <c r="B157" s="8" t="s">
        <v>203</v>
      </c>
      <c r="C157" s="14" t="s">
        <v>209</v>
      </c>
      <c r="D157" s="34" t="s">
        <v>267</v>
      </c>
      <c r="E157" s="14" t="s">
        <v>163</v>
      </c>
      <c r="F157" s="3">
        <v>94.5</v>
      </c>
      <c r="G157" s="3">
        <v>4.0750000000000002</v>
      </c>
      <c r="H157" s="3">
        <v>129.01</v>
      </c>
      <c r="I157" s="3">
        <v>1.5024999999999999</v>
      </c>
      <c r="J157" s="3">
        <v>0</v>
      </c>
      <c r="K157" s="3">
        <v>3.75</v>
      </c>
      <c r="L157" s="3">
        <v>8.25</v>
      </c>
      <c r="M157" s="3">
        <v>5.2949999999999999</v>
      </c>
      <c r="N157" s="3">
        <v>2.85</v>
      </c>
      <c r="O157" s="3">
        <v>199.75</v>
      </c>
      <c r="P157" s="3">
        <v>65.849999999999994</v>
      </c>
      <c r="Q157" s="3">
        <v>194.7775</v>
      </c>
      <c r="R157" s="3">
        <v>5.9984000000000002</v>
      </c>
      <c r="S157" s="5"/>
      <c r="U157" s="5"/>
      <c r="V157" s="5"/>
    </row>
    <row r="158" spans="1:22" x14ac:dyDescent="0.2">
      <c r="A158" s="1">
        <v>142</v>
      </c>
      <c r="B158" s="8" t="s">
        <v>203</v>
      </c>
      <c r="C158" s="14" t="s">
        <v>209</v>
      </c>
      <c r="D158" s="34" t="s">
        <v>267</v>
      </c>
      <c r="E158" s="14" t="s">
        <v>161</v>
      </c>
      <c r="F158" s="3">
        <v>69.599999999999994</v>
      </c>
      <c r="G158" s="3">
        <v>1.5249999999999999</v>
      </c>
      <c r="H158" s="3">
        <v>37.51</v>
      </c>
      <c r="I158" s="3">
        <v>1.2774999999999999</v>
      </c>
      <c r="J158" s="3">
        <v>0</v>
      </c>
      <c r="K158" s="3">
        <v>2.4449999999999998</v>
      </c>
      <c r="L158" s="3">
        <v>2.7</v>
      </c>
      <c r="M158" s="3">
        <v>5.7450000000000001</v>
      </c>
      <c r="N158" s="3">
        <v>1.8</v>
      </c>
      <c r="O158" s="3">
        <v>80.05</v>
      </c>
      <c r="P158" s="3">
        <v>151.35</v>
      </c>
      <c r="Q158" s="3">
        <v>107.6275</v>
      </c>
      <c r="R158" s="3">
        <v>2.2447999999999997</v>
      </c>
      <c r="S158" s="5"/>
      <c r="U158" s="5"/>
      <c r="V158" s="5"/>
    </row>
    <row r="159" spans="1:22" x14ac:dyDescent="0.2">
      <c r="A159" s="1">
        <v>143</v>
      </c>
      <c r="B159" s="8" t="s">
        <v>203</v>
      </c>
      <c r="C159" s="14" t="s">
        <v>209</v>
      </c>
      <c r="D159" s="34" t="s">
        <v>267</v>
      </c>
      <c r="E159" s="14" t="s">
        <v>162</v>
      </c>
      <c r="F159" s="3">
        <v>94.5</v>
      </c>
      <c r="G159" s="3">
        <v>4.5250000000000004</v>
      </c>
      <c r="H159" s="3">
        <v>42.01</v>
      </c>
      <c r="I159" s="3">
        <v>1.2024999999999999</v>
      </c>
      <c r="J159" s="3">
        <v>0</v>
      </c>
      <c r="K159" s="3">
        <v>4.6500000000000004</v>
      </c>
      <c r="L159" s="3">
        <v>4.6500000000000004</v>
      </c>
      <c r="M159" s="3">
        <v>5.5949999999999998</v>
      </c>
      <c r="N159" s="3">
        <v>4.6500000000000004</v>
      </c>
      <c r="O159" s="3">
        <v>18.25</v>
      </c>
      <c r="P159" s="3">
        <v>101.85</v>
      </c>
      <c r="Q159" s="3">
        <v>120.8275</v>
      </c>
      <c r="R159" s="3">
        <v>6.6608000000000001</v>
      </c>
      <c r="S159" s="5"/>
      <c r="U159" s="5"/>
      <c r="V159" s="5"/>
    </row>
    <row r="160" spans="1:22" x14ac:dyDescent="0.2">
      <c r="A160" s="1">
        <v>156</v>
      </c>
      <c r="B160" s="8" t="s">
        <v>203</v>
      </c>
      <c r="C160" s="14" t="s">
        <v>209</v>
      </c>
      <c r="D160" s="34" t="s">
        <v>267</v>
      </c>
      <c r="E160" s="14" t="s">
        <v>180</v>
      </c>
      <c r="F160" s="3">
        <v>95.82</v>
      </c>
      <c r="G160" s="3">
        <v>3.4529999999999998</v>
      </c>
      <c r="H160" s="3">
        <v>152.75</v>
      </c>
      <c r="I160" s="3">
        <v>1.7055</v>
      </c>
      <c r="J160" s="3">
        <v>0</v>
      </c>
      <c r="K160" s="3">
        <v>6.4560000000000004</v>
      </c>
      <c r="L160" s="3">
        <v>4.8579999999999997</v>
      </c>
      <c r="M160" s="3">
        <v>5.2569999999999997</v>
      </c>
      <c r="N160" s="3">
        <v>6.452</v>
      </c>
      <c r="O160" s="3">
        <v>45.05</v>
      </c>
      <c r="P160" s="3">
        <v>102.85</v>
      </c>
      <c r="Q160" s="3">
        <v>124.75749999999999</v>
      </c>
      <c r="R160" s="3">
        <v>5.0828160000000002</v>
      </c>
      <c r="S160" s="5"/>
      <c r="U160" s="5"/>
      <c r="V160" s="5"/>
    </row>
    <row r="161" spans="1:22" x14ac:dyDescent="0.2">
      <c r="A161" s="1">
        <v>163</v>
      </c>
      <c r="B161" s="8" t="s">
        <v>203</v>
      </c>
      <c r="C161" s="14" t="s">
        <v>209</v>
      </c>
      <c r="D161" s="34" t="s">
        <v>267</v>
      </c>
      <c r="E161" s="14" t="s">
        <v>189</v>
      </c>
      <c r="F161" s="3">
        <v>97.949999999999989</v>
      </c>
      <c r="G161" s="3">
        <v>0.98</v>
      </c>
      <c r="H161" s="3">
        <v>38.39</v>
      </c>
      <c r="I161" s="3">
        <v>0.36130000000000001</v>
      </c>
      <c r="J161" s="3">
        <v>8.5000000000000006E-3</v>
      </c>
      <c r="K161" s="3">
        <v>11.43</v>
      </c>
      <c r="L161" s="3">
        <v>4.05</v>
      </c>
      <c r="M161" s="3">
        <v>4.8949999999999996</v>
      </c>
      <c r="N161" s="3">
        <v>9.0414999999999992</v>
      </c>
      <c r="O161" s="3">
        <v>65.75</v>
      </c>
      <c r="P161" s="3">
        <v>78.400000000000006</v>
      </c>
      <c r="Q161" s="3">
        <v>57.545000000000002</v>
      </c>
      <c r="R161" s="3">
        <v>1.4184799999999997</v>
      </c>
      <c r="S161" s="5"/>
      <c r="U161" s="5"/>
      <c r="V161" s="5"/>
    </row>
    <row r="162" spans="1:22" x14ac:dyDescent="0.2">
      <c r="A162" s="1">
        <v>168</v>
      </c>
      <c r="B162" s="8" t="s">
        <v>203</v>
      </c>
      <c r="C162" s="14" t="s">
        <v>209</v>
      </c>
      <c r="D162" s="34" t="s">
        <v>267</v>
      </c>
      <c r="E162" s="14" t="s">
        <v>193</v>
      </c>
      <c r="F162" s="3">
        <v>90.699999999999989</v>
      </c>
      <c r="G162" s="3">
        <v>3.9899999999999998</v>
      </c>
      <c r="H162" s="3">
        <v>61.61</v>
      </c>
      <c r="I162" s="3">
        <v>0.75249999999999995</v>
      </c>
      <c r="J162" s="3">
        <v>0</v>
      </c>
      <c r="K162" s="3">
        <v>3.1949999999999998</v>
      </c>
      <c r="L162" s="3">
        <v>3.3</v>
      </c>
      <c r="M162" s="3">
        <v>6.2</v>
      </c>
      <c r="N162" s="3">
        <v>2.5499999999999998</v>
      </c>
      <c r="O162" s="3">
        <v>189.25</v>
      </c>
      <c r="P162" s="3">
        <v>66.95</v>
      </c>
      <c r="Q162" s="3">
        <v>129.82749999999999</v>
      </c>
      <c r="R162" s="3">
        <v>4.8132800000000007</v>
      </c>
      <c r="S162" s="5"/>
      <c r="U162" s="5"/>
      <c r="V162" s="5"/>
    </row>
    <row r="163" spans="1:22" x14ac:dyDescent="0.2">
      <c r="A163" s="1">
        <v>155</v>
      </c>
      <c r="B163" s="8" t="s">
        <v>203</v>
      </c>
      <c r="C163" s="14" t="s">
        <v>209</v>
      </c>
      <c r="D163" s="34" t="s">
        <v>267</v>
      </c>
      <c r="E163" s="14" t="s">
        <v>179</v>
      </c>
      <c r="F163" s="3">
        <v>87.76</v>
      </c>
      <c r="G163" s="3">
        <v>1.9389999999999998</v>
      </c>
      <c r="H163" s="3">
        <v>29.73</v>
      </c>
      <c r="I163" s="3">
        <v>0.4965</v>
      </c>
      <c r="J163" s="3">
        <v>0</v>
      </c>
      <c r="K163" s="3">
        <v>4.798</v>
      </c>
      <c r="L163" s="3">
        <v>4.6739999999999995</v>
      </c>
      <c r="M163" s="3">
        <v>5.7309999999999999</v>
      </c>
      <c r="N163" s="3">
        <v>4.7960000000000003</v>
      </c>
      <c r="O163" s="3">
        <v>27.75</v>
      </c>
      <c r="P163" s="3">
        <v>74.650000000000006</v>
      </c>
      <c r="Q163" s="3">
        <v>138.95750000000001</v>
      </c>
      <c r="R163" s="3">
        <v>2.8542080000000003</v>
      </c>
      <c r="S163" s="5"/>
      <c r="U163" s="5"/>
      <c r="V163" s="5"/>
    </row>
    <row r="164" spans="1:22" x14ac:dyDescent="0.2">
      <c r="A164" s="1">
        <v>167</v>
      </c>
      <c r="B164" s="8" t="s">
        <v>203</v>
      </c>
      <c r="C164" s="14" t="s">
        <v>209</v>
      </c>
      <c r="D164" s="34" t="s">
        <v>267</v>
      </c>
      <c r="E164" s="14" t="s">
        <v>195</v>
      </c>
      <c r="F164" s="3">
        <v>86.589999999999989</v>
      </c>
      <c r="G164" s="3">
        <v>2.7789999999999999</v>
      </c>
      <c r="H164" s="3">
        <v>95.59</v>
      </c>
      <c r="I164" s="3">
        <v>0.30530000000000002</v>
      </c>
      <c r="J164" s="3">
        <v>0.11410000000000001</v>
      </c>
      <c r="K164" s="3">
        <v>3.9899999999999998</v>
      </c>
      <c r="L164" s="3">
        <v>3.9</v>
      </c>
      <c r="M164" s="3">
        <v>6.1349999999999998</v>
      </c>
      <c r="N164" s="3">
        <v>3.3414999999999999</v>
      </c>
      <c r="O164" s="3">
        <v>59.370000000000005</v>
      </c>
      <c r="P164" s="3">
        <v>164.56</v>
      </c>
      <c r="Q164" s="3">
        <v>98.344999999999999</v>
      </c>
      <c r="R164" s="3">
        <v>3.2107359999999998</v>
      </c>
      <c r="S164" s="5"/>
      <c r="U164" s="5"/>
      <c r="V164" s="5"/>
    </row>
    <row r="165" spans="1:22" x14ac:dyDescent="0.2">
      <c r="A165" s="1">
        <v>157</v>
      </c>
      <c r="B165" s="8" t="s">
        <v>203</v>
      </c>
      <c r="C165" s="14" t="s">
        <v>209</v>
      </c>
      <c r="D165" s="34" t="s">
        <v>267</v>
      </c>
      <c r="E165" s="14" t="s">
        <v>181</v>
      </c>
      <c r="F165" s="3">
        <v>82.95</v>
      </c>
      <c r="G165" s="3">
        <v>3.4750000000000001</v>
      </c>
      <c r="H165" s="3">
        <v>15.01</v>
      </c>
      <c r="I165" s="3">
        <v>1.8025</v>
      </c>
      <c r="J165" s="3">
        <v>0</v>
      </c>
      <c r="K165" s="3">
        <v>3.6749999999999998</v>
      </c>
      <c r="L165" s="3">
        <v>2.5499999999999998</v>
      </c>
      <c r="M165" s="3">
        <v>5.5949999999999998</v>
      </c>
      <c r="N165" s="3">
        <v>1.5</v>
      </c>
      <c r="O165" s="3">
        <v>7.75</v>
      </c>
      <c r="P165" s="3">
        <v>325.35000000000002</v>
      </c>
      <c r="Q165" s="3">
        <v>124.5775</v>
      </c>
      <c r="R165" s="3">
        <v>5.1151999999999997</v>
      </c>
      <c r="S165" s="5"/>
      <c r="U165" s="5"/>
      <c r="V165" s="5"/>
    </row>
    <row r="166" spans="1:22" x14ac:dyDescent="0.2">
      <c r="A166" s="1">
        <v>158</v>
      </c>
      <c r="B166" s="8" t="s">
        <v>203</v>
      </c>
      <c r="C166" s="14" t="s">
        <v>209</v>
      </c>
      <c r="D166" s="34" t="s">
        <v>267</v>
      </c>
      <c r="E166" s="14" t="s">
        <v>182</v>
      </c>
      <c r="F166" s="3">
        <v>88.32</v>
      </c>
      <c r="G166" s="3">
        <v>3.6029999999999998</v>
      </c>
      <c r="H166" s="3">
        <v>60.949999999999996</v>
      </c>
      <c r="I166" s="3">
        <v>1.6605000000000001</v>
      </c>
      <c r="J166" s="3">
        <v>0</v>
      </c>
      <c r="K166" s="3">
        <v>4.3559999999999999</v>
      </c>
      <c r="L166" s="3">
        <v>4.8579999999999997</v>
      </c>
      <c r="M166" s="3">
        <v>5.2569999999999997</v>
      </c>
      <c r="N166" s="3">
        <v>4.3520000000000003</v>
      </c>
      <c r="O166" s="3">
        <v>48.05</v>
      </c>
      <c r="P166" s="3">
        <v>146.35</v>
      </c>
      <c r="Q166" s="3">
        <v>164.8075</v>
      </c>
      <c r="R166" s="3">
        <v>5.3036160000000008</v>
      </c>
      <c r="S166" s="5"/>
      <c r="U166" s="5"/>
      <c r="V166" s="5"/>
    </row>
    <row r="167" spans="1:22" x14ac:dyDescent="0.2">
      <c r="A167" s="1">
        <v>146</v>
      </c>
      <c r="B167" s="8" t="s">
        <v>203</v>
      </c>
      <c r="C167" s="14" t="s">
        <v>209</v>
      </c>
      <c r="D167" s="34" t="s">
        <v>267</v>
      </c>
      <c r="E167" s="14" t="s">
        <v>165</v>
      </c>
      <c r="F167" s="3">
        <v>81</v>
      </c>
      <c r="G167" s="3">
        <v>3.1749999999999998</v>
      </c>
      <c r="H167" s="3">
        <v>52.51</v>
      </c>
      <c r="I167" s="3">
        <v>1.3525</v>
      </c>
      <c r="J167" s="3">
        <v>0</v>
      </c>
      <c r="K167" s="3">
        <v>3.6</v>
      </c>
      <c r="L167" s="3">
        <v>4.3499999999999996</v>
      </c>
      <c r="M167" s="3">
        <v>5.1450000000000005</v>
      </c>
      <c r="N167" s="3">
        <v>3.6</v>
      </c>
      <c r="O167" s="3">
        <v>3.25</v>
      </c>
      <c r="P167" s="3">
        <v>94.35</v>
      </c>
      <c r="Q167" s="3">
        <v>154.1275</v>
      </c>
      <c r="R167" s="3">
        <v>4.6736000000000004</v>
      </c>
      <c r="S167" s="5"/>
      <c r="U167" s="5"/>
      <c r="V167" s="5"/>
    </row>
    <row r="168" spans="1:22" x14ac:dyDescent="0.2">
      <c r="A168" s="1">
        <v>169</v>
      </c>
      <c r="B168" s="8" t="s">
        <v>203</v>
      </c>
      <c r="C168" s="14" t="s">
        <v>209</v>
      </c>
      <c r="D168" s="34" t="s">
        <v>267</v>
      </c>
      <c r="E168" s="14" t="s">
        <v>171</v>
      </c>
      <c r="F168" s="3">
        <v>106.91</v>
      </c>
      <c r="G168" s="3">
        <v>2.1339999999999999</v>
      </c>
      <c r="H168" s="3">
        <v>28.66</v>
      </c>
      <c r="I168" s="3">
        <v>0.88949999999999996</v>
      </c>
      <c r="J168" s="3">
        <v>0</v>
      </c>
      <c r="K168" s="3">
        <v>11.337</v>
      </c>
      <c r="L168" s="3">
        <v>2.87</v>
      </c>
      <c r="M168" s="3">
        <v>5.2750000000000004</v>
      </c>
      <c r="N168" s="3">
        <v>3.15</v>
      </c>
      <c r="O168" s="3">
        <v>14.170000000000002</v>
      </c>
      <c r="P168" s="3">
        <v>56.35</v>
      </c>
      <c r="Q168" s="3">
        <v>127.5475</v>
      </c>
      <c r="R168" s="3">
        <v>1.9143680000000001</v>
      </c>
      <c r="S168" s="5"/>
      <c r="U168" s="5"/>
      <c r="V168" s="5"/>
    </row>
    <row r="169" spans="1:22" x14ac:dyDescent="0.2">
      <c r="A169" s="1">
        <v>160</v>
      </c>
      <c r="B169" s="8" t="s">
        <v>203</v>
      </c>
      <c r="C169" s="14" t="s">
        <v>209</v>
      </c>
      <c r="D169" s="34" t="s">
        <v>267</v>
      </c>
      <c r="E169" s="14" t="s">
        <v>184</v>
      </c>
      <c r="F169" s="3">
        <v>99.9</v>
      </c>
      <c r="G169" s="3">
        <v>1.615</v>
      </c>
      <c r="H169" s="3">
        <v>7.21</v>
      </c>
      <c r="I169" s="3">
        <v>0.3175</v>
      </c>
      <c r="J169" s="3">
        <v>0</v>
      </c>
      <c r="K169" s="3">
        <v>8.9700000000000006</v>
      </c>
      <c r="L169" s="3">
        <v>4.8</v>
      </c>
      <c r="M169" s="3">
        <v>5.7450000000000001</v>
      </c>
      <c r="N169" s="3">
        <v>7.2</v>
      </c>
      <c r="O169" s="3">
        <v>7.75</v>
      </c>
      <c r="P169" s="3">
        <v>113.85</v>
      </c>
      <c r="Q169" s="3">
        <v>128.92750000000001</v>
      </c>
      <c r="R169" s="3">
        <v>2.3772799999999998</v>
      </c>
      <c r="S169" s="5"/>
      <c r="U169" s="5"/>
      <c r="V169" s="5"/>
    </row>
    <row r="170" spans="1:22" x14ac:dyDescent="0.2">
      <c r="A170" s="1">
        <v>154</v>
      </c>
      <c r="B170" s="8" t="s">
        <v>203</v>
      </c>
      <c r="C170" s="14" t="s">
        <v>209</v>
      </c>
      <c r="D170" s="34" t="s">
        <v>267</v>
      </c>
      <c r="E170" s="14" t="s">
        <v>178</v>
      </c>
      <c r="F170" s="3">
        <v>69.75</v>
      </c>
      <c r="G170" s="3">
        <v>1.8699999999999999</v>
      </c>
      <c r="H170" s="3">
        <v>28.060000000000002</v>
      </c>
      <c r="I170" s="3">
        <v>0.54249999999999998</v>
      </c>
      <c r="J170" s="3">
        <v>0</v>
      </c>
      <c r="K170" s="3">
        <v>2.7</v>
      </c>
      <c r="L170" s="3">
        <v>1.575</v>
      </c>
      <c r="M170" s="3">
        <v>5.3849999999999998</v>
      </c>
      <c r="N170" s="3">
        <v>2.6850000000000001</v>
      </c>
      <c r="O170" s="3">
        <v>13.75</v>
      </c>
      <c r="P170" s="3">
        <v>121.35</v>
      </c>
      <c r="Q170" s="3">
        <v>122.47749999999999</v>
      </c>
      <c r="R170" s="3">
        <v>2.75264</v>
      </c>
      <c r="S170" s="5"/>
      <c r="U170" s="5"/>
      <c r="V170" s="5"/>
    </row>
    <row r="171" spans="1:22" x14ac:dyDescent="0.2">
      <c r="A171" s="1">
        <v>145</v>
      </c>
      <c r="B171" s="8" t="s">
        <v>203</v>
      </c>
      <c r="C171" s="14" t="s">
        <v>209</v>
      </c>
      <c r="D171" s="34" t="s">
        <v>267</v>
      </c>
      <c r="E171" s="14" t="s">
        <v>164</v>
      </c>
      <c r="F171" s="3">
        <v>85.5</v>
      </c>
      <c r="G171" s="3">
        <v>0.67500000000000004</v>
      </c>
      <c r="H171" s="3">
        <v>25.560000000000002</v>
      </c>
      <c r="I171" s="3">
        <v>0.249</v>
      </c>
      <c r="J171" s="3">
        <v>0</v>
      </c>
      <c r="K171" s="3">
        <v>7.8949999999999996</v>
      </c>
      <c r="L171" s="3">
        <v>2.72</v>
      </c>
      <c r="M171" s="3">
        <v>5.5095000000000001</v>
      </c>
      <c r="N171" s="3">
        <v>6.12</v>
      </c>
      <c r="O171" s="3">
        <v>44.3</v>
      </c>
      <c r="P171" s="3">
        <v>48.7</v>
      </c>
      <c r="Q171" s="3">
        <v>94.847499999999997</v>
      </c>
      <c r="R171" s="3">
        <v>0.99359999999999982</v>
      </c>
      <c r="S171" s="5"/>
      <c r="U171" s="5"/>
      <c r="V171" s="5"/>
    </row>
    <row r="172" spans="1:22" x14ac:dyDescent="0.2">
      <c r="A172" s="1">
        <v>147</v>
      </c>
      <c r="B172" s="8" t="s">
        <v>203</v>
      </c>
      <c r="C172" s="14" t="s">
        <v>209</v>
      </c>
      <c r="D172" s="34" t="s">
        <v>258</v>
      </c>
      <c r="E172" s="14" t="s">
        <v>166</v>
      </c>
      <c r="F172" s="3">
        <v>71.16</v>
      </c>
      <c r="G172" s="3">
        <v>1.2249999999999999</v>
      </c>
      <c r="H172" s="3">
        <v>44.41</v>
      </c>
      <c r="I172" s="3">
        <v>0.24249999999999999</v>
      </c>
      <c r="J172" s="3">
        <v>0</v>
      </c>
      <c r="K172" s="3">
        <v>3.1559999999999997</v>
      </c>
      <c r="L172" s="3">
        <v>3.12</v>
      </c>
      <c r="M172" s="3">
        <v>5.5949999999999998</v>
      </c>
      <c r="N172" s="3">
        <v>2.64</v>
      </c>
      <c r="O172" s="3">
        <v>26.65</v>
      </c>
      <c r="P172" s="3">
        <v>73.95</v>
      </c>
      <c r="Q172" s="3">
        <v>95.477499999999992</v>
      </c>
      <c r="R172" s="3">
        <v>1.8031999999999999</v>
      </c>
      <c r="S172" s="5"/>
      <c r="U172" s="5"/>
      <c r="V172" s="5"/>
    </row>
    <row r="173" spans="1:22" x14ac:dyDescent="0.2">
      <c r="A173" s="1">
        <v>148</v>
      </c>
      <c r="B173" s="8" t="s">
        <v>203</v>
      </c>
      <c r="C173" s="14" t="s">
        <v>209</v>
      </c>
      <c r="D173" s="34" t="s">
        <v>258</v>
      </c>
      <c r="E173" s="14" t="s">
        <v>167</v>
      </c>
      <c r="F173" s="3">
        <v>68.16</v>
      </c>
      <c r="G173" s="3">
        <v>1.0569999999999999</v>
      </c>
      <c r="H173" s="3">
        <v>9.7780000000000005</v>
      </c>
      <c r="I173" s="3">
        <v>0.14649999999999999</v>
      </c>
      <c r="J173" s="3">
        <v>0</v>
      </c>
      <c r="K173" s="3">
        <v>2.988</v>
      </c>
      <c r="L173" s="3">
        <v>1.44</v>
      </c>
      <c r="M173" s="3">
        <v>5.3070000000000004</v>
      </c>
      <c r="N173" s="3">
        <v>2.9760000000000004</v>
      </c>
      <c r="O173" s="3">
        <v>4.1140000000000008</v>
      </c>
      <c r="P173" s="3">
        <v>70.349999999999994</v>
      </c>
      <c r="Q173" s="3">
        <v>77.040900000400001</v>
      </c>
      <c r="R173" s="3">
        <v>1.5559039999999997</v>
      </c>
      <c r="S173" s="5"/>
      <c r="U173" s="5"/>
      <c r="V173" s="5"/>
    </row>
    <row r="174" spans="1:22" x14ac:dyDescent="0.2">
      <c r="A174" s="1">
        <v>151</v>
      </c>
      <c r="B174" s="8" t="s">
        <v>203</v>
      </c>
      <c r="C174" s="14" t="s">
        <v>209</v>
      </c>
      <c r="D174" s="34" t="s">
        <v>258</v>
      </c>
      <c r="E174" s="14" t="s">
        <v>170</v>
      </c>
      <c r="F174" s="3">
        <v>60.4</v>
      </c>
      <c r="G174" s="3">
        <v>1.2849999999999999</v>
      </c>
      <c r="H174" s="3">
        <v>31.51</v>
      </c>
      <c r="I174" s="3">
        <v>0.5625</v>
      </c>
      <c r="J174" s="3">
        <v>0</v>
      </c>
      <c r="K174" s="3">
        <v>1.54</v>
      </c>
      <c r="L174" s="3">
        <v>1.05</v>
      </c>
      <c r="M174" s="3">
        <v>5.2750000000000004</v>
      </c>
      <c r="N174" s="3">
        <v>1.54</v>
      </c>
      <c r="O174" s="3">
        <v>6.55</v>
      </c>
      <c r="P174" s="3">
        <v>45.05</v>
      </c>
      <c r="Q174" s="3">
        <v>88.667500000000004</v>
      </c>
      <c r="R174" s="3">
        <v>1.8915200000000001</v>
      </c>
      <c r="S174" s="5"/>
      <c r="U174" s="5"/>
      <c r="V174" s="5"/>
    </row>
    <row r="175" spans="1:22" x14ac:dyDescent="0.2">
      <c r="A175" s="1">
        <v>152</v>
      </c>
      <c r="B175" s="8" t="s">
        <v>203</v>
      </c>
      <c r="C175" s="14" t="s">
        <v>209</v>
      </c>
      <c r="D175" s="34" t="s">
        <v>258</v>
      </c>
      <c r="E175" s="14" t="s">
        <v>176</v>
      </c>
      <c r="F175" s="3">
        <v>97.5</v>
      </c>
      <c r="G175" s="3">
        <v>5.125</v>
      </c>
      <c r="H175" s="3">
        <v>117.01</v>
      </c>
      <c r="I175" s="3">
        <v>4.3525</v>
      </c>
      <c r="J175" s="3">
        <v>0</v>
      </c>
      <c r="K175" s="3">
        <v>4.3499999999999996</v>
      </c>
      <c r="L175" s="3">
        <v>2.85</v>
      </c>
      <c r="M175" s="3">
        <v>6.0449999999999999</v>
      </c>
      <c r="N175" s="3">
        <v>0.6</v>
      </c>
      <c r="O175" s="3">
        <v>150.25</v>
      </c>
      <c r="P175" s="3">
        <v>67.349999999999994</v>
      </c>
      <c r="Q175" s="3">
        <v>115.8775</v>
      </c>
      <c r="R175" s="3">
        <v>7.5440000000000005</v>
      </c>
      <c r="S175" s="5"/>
      <c r="U175" s="5"/>
      <c r="V175" s="5"/>
    </row>
    <row r="176" spans="1:22" x14ac:dyDescent="0.2">
      <c r="A176" s="1">
        <v>43</v>
      </c>
      <c r="B176" s="7" t="s">
        <v>198</v>
      </c>
      <c r="D176"/>
      <c r="E176" t="s">
        <v>62</v>
      </c>
      <c r="F176" s="3">
        <v>368.00999999999993</v>
      </c>
      <c r="G176" s="3">
        <v>11.059999999999999</v>
      </c>
      <c r="H176" s="3">
        <v>94.667999999999992</v>
      </c>
      <c r="I176" s="3">
        <v>3.0820000000000003</v>
      </c>
      <c r="J176" s="3">
        <v>0.22419999999999998</v>
      </c>
      <c r="K176" s="3">
        <v>60.763999999999996</v>
      </c>
      <c r="L176" s="3">
        <v>6.2309999999999999</v>
      </c>
      <c r="M176" s="3">
        <v>6.984</v>
      </c>
      <c r="N176" s="3">
        <v>4.2930000000000001</v>
      </c>
      <c r="O176" s="3">
        <v>129.51999999999998</v>
      </c>
      <c r="P176" s="3">
        <v>254.6</v>
      </c>
      <c r="Q176" s="3">
        <v>312.67724999999996</v>
      </c>
      <c r="R176" s="3">
        <v>5.9539680000000006</v>
      </c>
      <c r="S176" s="5"/>
      <c r="U176" s="5"/>
      <c r="V176" s="5"/>
    </row>
    <row r="177" spans="1:26" x14ac:dyDescent="0.2">
      <c r="A177" s="1">
        <v>65</v>
      </c>
      <c r="B177" s="7" t="s">
        <v>198</v>
      </c>
      <c r="D177"/>
      <c r="E177" t="s">
        <v>84</v>
      </c>
      <c r="F177" s="3">
        <v>414.15000000000003</v>
      </c>
      <c r="G177" s="3">
        <v>14.834999999999999</v>
      </c>
      <c r="H177" s="3">
        <v>66.160000000000011</v>
      </c>
      <c r="I177" s="3">
        <v>2.4114999999999998</v>
      </c>
      <c r="J177" s="3">
        <v>0.78600000000000003</v>
      </c>
      <c r="K177" s="3">
        <v>59.744999999999997</v>
      </c>
      <c r="L177" s="3">
        <v>3.1150000000000002</v>
      </c>
      <c r="M177" s="3">
        <v>13.705000000000002</v>
      </c>
      <c r="N177" s="3">
        <v>2.1399999999999997</v>
      </c>
      <c r="O177" s="3">
        <v>106.06</v>
      </c>
      <c r="P177" s="3">
        <v>1021.35</v>
      </c>
      <c r="Q177" s="3">
        <v>683.95749999999998</v>
      </c>
      <c r="R177" s="3">
        <v>12.80696</v>
      </c>
      <c r="S177" s="5"/>
      <c r="U177" s="5"/>
      <c r="V177" s="5"/>
    </row>
    <row r="178" spans="1:26" x14ac:dyDescent="0.2">
      <c r="A178" s="1">
        <v>95</v>
      </c>
      <c r="B178" s="6" t="s">
        <v>202</v>
      </c>
      <c r="C178" s="11" t="s">
        <v>206</v>
      </c>
      <c r="D178" s="34"/>
      <c r="E178" s="11" t="s">
        <v>114</v>
      </c>
      <c r="F178" s="3">
        <v>323.89999999999998</v>
      </c>
      <c r="G178" s="3">
        <v>20.747</v>
      </c>
      <c r="H178" s="3">
        <v>76.816000000000003</v>
      </c>
      <c r="I178" s="3">
        <v>1.9743999999999997</v>
      </c>
      <c r="J178" s="3">
        <v>2.3255000000000003</v>
      </c>
      <c r="K178" s="3">
        <v>0.57640000000000002</v>
      </c>
      <c r="L178" s="3">
        <v>0</v>
      </c>
      <c r="M178" s="3">
        <v>26.468599999999999</v>
      </c>
      <c r="N178" s="3">
        <v>0.56689999999999996</v>
      </c>
      <c r="O178" s="3">
        <v>104.92999999999998</v>
      </c>
      <c r="P178" s="3">
        <v>2490.4499999999998</v>
      </c>
      <c r="Q178" s="3">
        <v>1557.2315000000001</v>
      </c>
      <c r="R178" s="3">
        <v>27.342047999999998</v>
      </c>
      <c r="S178" s="5"/>
      <c r="U178" s="5"/>
      <c r="V178" s="5"/>
    </row>
    <row r="179" spans="1:26" x14ac:dyDescent="0.2">
      <c r="A179" s="1">
        <v>114</v>
      </c>
      <c r="B179" s="6" t="s">
        <v>202</v>
      </c>
      <c r="C179" s="12" t="s">
        <v>207</v>
      </c>
      <c r="D179" s="34"/>
      <c r="E179" s="12" t="s">
        <v>133</v>
      </c>
      <c r="F179" s="3">
        <v>156.5</v>
      </c>
      <c r="G179" s="3">
        <v>21.224999999999998</v>
      </c>
      <c r="H179" s="3">
        <v>10.76</v>
      </c>
      <c r="I179" s="3">
        <v>0.79749999999999988</v>
      </c>
      <c r="J179" s="3">
        <v>1.0050000000000001</v>
      </c>
      <c r="K179" s="3">
        <v>0.4</v>
      </c>
      <c r="L179" s="3">
        <v>0</v>
      </c>
      <c r="M179" s="3">
        <v>7.8</v>
      </c>
      <c r="N179" s="3">
        <v>7.0000000000000007E-2</v>
      </c>
      <c r="O179" s="3">
        <v>93.75</v>
      </c>
      <c r="P179" s="3">
        <v>404.35</v>
      </c>
      <c r="Q179" s="3">
        <v>603.27750000000003</v>
      </c>
      <c r="R179" s="3">
        <v>14.283200000000001</v>
      </c>
      <c r="S179" s="5"/>
      <c r="U179" s="5"/>
      <c r="V179" s="5"/>
    </row>
    <row r="180" spans="1:26" x14ac:dyDescent="0.2">
      <c r="U180" s="5"/>
      <c r="V180" s="5"/>
    </row>
    <row r="181" spans="1:26" x14ac:dyDescent="0.2">
      <c r="F181" s="21"/>
      <c r="G181" s="20"/>
      <c r="H181" s="20"/>
      <c r="I181" s="20"/>
      <c r="J181" s="20"/>
      <c r="K181" s="20"/>
      <c r="L181" s="20"/>
      <c r="U181" s="5"/>
      <c r="V181" s="5"/>
    </row>
    <row r="182" spans="1:26" x14ac:dyDescent="0.2">
      <c r="E182" s="1"/>
      <c r="F182" s="21"/>
      <c r="G182" s="20"/>
      <c r="H182" s="20"/>
      <c r="I182" s="20"/>
      <c r="J182" s="20"/>
      <c r="K182" s="20"/>
      <c r="L182" s="20"/>
      <c r="M182" s="1"/>
      <c r="U182" s="5"/>
      <c r="V182" s="5"/>
    </row>
    <row r="183" spans="1:26" x14ac:dyDescent="0.2">
      <c r="E183" s="1"/>
      <c r="F183" s="21"/>
      <c r="G183" s="20"/>
      <c r="H183" s="20"/>
      <c r="I183" s="20"/>
      <c r="J183" s="20"/>
      <c r="K183" s="20"/>
      <c r="L183" s="20"/>
      <c r="U183" s="5"/>
      <c r="V183" s="5"/>
    </row>
    <row r="184" spans="1:26" x14ac:dyDescent="0.2">
      <c r="F184" s="2"/>
      <c r="M184" s="2"/>
      <c r="U184" s="5"/>
      <c r="V184" s="5"/>
    </row>
    <row r="185" spans="1:26" x14ac:dyDescent="0.2">
      <c r="F185" s="2"/>
      <c r="M185" s="2"/>
      <c r="U185" s="5"/>
      <c r="V185" s="5"/>
    </row>
    <row r="186" spans="1:26" x14ac:dyDescent="0.2">
      <c r="F186" s="2"/>
      <c r="M186" s="2"/>
      <c r="U186" s="5"/>
      <c r="V186" s="5"/>
    </row>
    <row r="187" spans="1:26" x14ac:dyDescent="0.2">
      <c r="F187" s="2"/>
      <c r="M187" s="2"/>
      <c r="U187" s="5"/>
      <c r="V187" s="5"/>
    </row>
    <row r="188" spans="1:26" x14ac:dyDescent="0.2">
      <c r="F188" s="2"/>
      <c r="M188" s="2"/>
      <c r="U188" s="5"/>
      <c r="V188" s="5"/>
    </row>
    <row r="189" spans="1:26" x14ac:dyDescent="0.2">
      <c r="F189" s="2"/>
      <c r="M189" s="2"/>
      <c r="U189" s="5"/>
      <c r="V189" s="5"/>
    </row>
    <row r="190" spans="1:26" x14ac:dyDescent="0.2">
      <c r="F190" s="2"/>
      <c r="M190" s="2"/>
      <c r="U190" s="5"/>
      <c r="V190" s="5"/>
    </row>
    <row r="191" spans="1:26" x14ac:dyDescent="0.2">
      <c r="F191" s="2"/>
      <c r="M191" s="2"/>
      <c r="U191" s="5"/>
      <c r="V191" s="5"/>
    </row>
    <row r="192" spans="1:26" s="3" customFormat="1" x14ac:dyDescent="0.2">
      <c r="A192" s="1"/>
      <c r="B192" s="1"/>
      <c r="C192" s="1"/>
      <c r="D192" s="35"/>
      <c r="E192"/>
      <c r="F192" s="2"/>
      <c r="M192" s="2"/>
      <c r="S192"/>
      <c r="T192"/>
      <c r="U192"/>
      <c r="V192"/>
      <c r="W192"/>
      <c r="X192"/>
      <c r="Y192"/>
      <c r="Z192"/>
    </row>
    <row r="193" spans="1:26" s="3" customFormat="1" x14ac:dyDescent="0.2">
      <c r="A193" s="1"/>
      <c r="B193" s="1"/>
      <c r="C193" s="1"/>
      <c r="D193" s="35"/>
      <c r="E193"/>
      <c r="F193" s="2"/>
      <c r="M193" s="2"/>
      <c r="S193"/>
      <c r="T193"/>
      <c r="U193"/>
      <c r="V193"/>
      <c r="W193"/>
      <c r="X193"/>
      <c r="Y193"/>
      <c r="Z193"/>
    </row>
  </sheetData>
  <autoFilter ref="A1:R179" xr:uid="{A8BAF959-6FCF-724E-8D97-6B80EEE2246D}">
    <sortState xmlns:xlrd2="http://schemas.microsoft.com/office/spreadsheetml/2017/richdata2" ref="A2:R179">
      <sortCondition ref="D1:D179"/>
    </sortState>
  </autoFilter>
  <sortState xmlns:xlrd2="http://schemas.microsoft.com/office/spreadsheetml/2017/richdata2" ref="A2:R179">
    <sortCondition ref="C80:C1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0545-B237-3940-8E04-8834F8E6D587}">
  <dimension ref="A1:S8"/>
  <sheetViews>
    <sheetView zoomScale="140" zoomScaleNormal="140" workbookViewId="0">
      <selection activeCell="B5" sqref="B5"/>
    </sheetView>
  </sheetViews>
  <sheetFormatPr baseColWidth="10" defaultRowHeight="15" x14ac:dyDescent="0.2"/>
  <cols>
    <col min="1" max="1" width="22.5" customWidth="1"/>
    <col min="2" max="2" width="12.1640625" style="20" customWidth="1"/>
    <col min="3" max="3" width="10.83203125" style="20"/>
    <col min="4" max="4" width="12.6640625" style="20" customWidth="1"/>
    <col min="5" max="5" width="10.5" style="20" customWidth="1"/>
    <col min="6" max="8" width="10.83203125" style="20"/>
    <col min="9" max="17" width="10.83203125" customWidth="1"/>
  </cols>
  <sheetData>
    <row r="1" spans="1:19" s="17" customFormat="1" x14ac:dyDescent="0.2">
      <c r="A1" s="17" t="s">
        <v>223</v>
      </c>
      <c r="B1" s="19" t="s">
        <v>210</v>
      </c>
      <c r="C1" s="19" t="s">
        <v>214</v>
      </c>
      <c r="D1" s="19" t="s">
        <v>219</v>
      </c>
      <c r="E1" s="19" t="s">
        <v>220</v>
      </c>
      <c r="F1" s="19" t="s">
        <v>224</v>
      </c>
      <c r="G1" s="19" t="s">
        <v>212</v>
      </c>
      <c r="H1" s="19" t="s">
        <v>215</v>
      </c>
    </row>
    <row r="2" spans="1:19" x14ac:dyDescent="0.2">
      <c r="A2" t="s">
        <v>235</v>
      </c>
      <c r="B2" s="20">
        <f>('group daily intake requirements'!B2+'group daily intake requirements'!B3)/2*0.3</f>
        <v>890.1</v>
      </c>
      <c r="C2" s="20">
        <f>'group daily intake requirements'!C2*0.3</f>
        <v>16.8</v>
      </c>
      <c r="D2" s="20">
        <f>'group daily intake requirements'!D2*0.3</f>
        <v>300</v>
      </c>
      <c r="E2" s="20">
        <f>'group daily intake requirements'!E2*0.3</f>
        <v>2.4</v>
      </c>
      <c r="F2" s="20">
        <f>'group daily intake requirements'!F2*0.3</f>
        <v>0.72</v>
      </c>
      <c r="G2" s="20">
        <f>'group daily intake requirements'!G2*0.3</f>
        <v>39</v>
      </c>
      <c r="H2" s="20">
        <f>'group daily intake requirements'!H2*0.3</f>
        <v>11.4</v>
      </c>
      <c r="I2" s="16"/>
      <c r="J2" s="24"/>
      <c r="K2" s="24"/>
      <c r="L2" s="24"/>
      <c r="M2" s="24"/>
      <c r="N2" s="24"/>
      <c r="O2" s="24"/>
      <c r="P2" s="24"/>
      <c r="Q2" s="25"/>
      <c r="R2" s="17"/>
      <c r="S2" s="17"/>
    </row>
    <row r="3" spans="1:19" x14ac:dyDescent="0.2">
      <c r="A3" t="s">
        <v>236</v>
      </c>
      <c r="B3" s="20">
        <f>'group daily intake requirements'!B4*0.3</f>
        <v>845.1</v>
      </c>
      <c r="C3" s="20">
        <f>'group daily intake requirements'!C4*0.3</f>
        <v>16.8</v>
      </c>
      <c r="D3" s="20">
        <f>'group daily intake requirements'!D4*0.3</f>
        <v>360</v>
      </c>
      <c r="E3" s="20">
        <f>'group daily intake requirements'!E4*0.3</f>
        <v>2.4</v>
      </c>
      <c r="F3" s="20">
        <f>'group daily intake requirements'!F4*0.3</f>
        <v>0.72</v>
      </c>
      <c r="G3" s="20">
        <f>'group daily intake requirements'!G4*0.3</f>
        <v>39</v>
      </c>
      <c r="H3" s="20">
        <f>'group daily intake requirements'!H4*0.3</f>
        <v>9</v>
      </c>
      <c r="J3" s="20"/>
      <c r="K3" s="20"/>
      <c r="L3" s="20"/>
      <c r="M3" s="20"/>
      <c r="N3" s="20"/>
      <c r="O3" s="20"/>
      <c r="P3" s="20"/>
    </row>
    <row r="4" spans="1:19" x14ac:dyDescent="0.2">
      <c r="A4" t="s">
        <v>237</v>
      </c>
      <c r="B4" s="20">
        <f>('group daily intake requirements'!B6+'group daily intake requirements'!B7)/2*0.3</f>
        <v>699.9</v>
      </c>
      <c r="C4" s="20">
        <f>'group daily intake requirements'!C6*0.3</f>
        <v>13.799999999999999</v>
      </c>
      <c r="D4" s="20">
        <f>'group daily intake requirements'!D6*0.3</f>
        <v>300</v>
      </c>
      <c r="E4" s="20">
        <f>'group daily intake requirements'!E6*0.3</f>
        <v>5.3999999999999995</v>
      </c>
      <c r="F4" s="20">
        <f>'group daily intake requirements'!F6*0.3</f>
        <v>0.72</v>
      </c>
      <c r="G4" s="20">
        <f>'group daily intake requirements'!G6*0.3</f>
        <v>39</v>
      </c>
      <c r="H4" s="20">
        <f>'group daily intake requirements'!H6*0.3</f>
        <v>7.5</v>
      </c>
      <c r="J4" s="20"/>
      <c r="K4" s="20"/>
      <c r="L4" s="20"/>
      <c r="M4" s="20"/>
      <c r="N4" s="20"/>
      <c r="O4" s="20"/>
      <c r="P4" s="20"/>
    </row>
    <row r="5" spans="1:19" x14ac:dyDescent="0.2">
      <c r="A5" t="s">
        <v>238</v>
      </c>
      <c r="B5" s="20">
        <f>('group daily intake requirements'!B10+'group daily intake requirements'!B11)/2*0.3</f>
        <v>809.4</v>
      </c>
      <c r="C5" s="20">
        <f>'group daily intake requirements'!C10*0.3</f>
        <v>21.3</v>
      </c>
      <c r="D5" s="20">
        <f>'group daily intake requirements'!D10*0.3</f>
        <v>300</v>
      </c>
      <c r="E5" s="20">
        <f>'group daily intake requirements'!E10*0.3</f>
        <v>8.1</v>
      </c>
      <c r="F5" s="20">
        <f>'group daily intake requirements'!F10*0.3</f>
        <v>0.78</v>
      </c>
      <c r="G5" s="20">
        <f>'group daily intake requirements'!G10*0.3</f>
        <v>52.5</v>
      </c>
      <c r="H5" s="20">
        <f>'group daily intake requirements'!H10*0.3</f>
        <v>8.4</v>
      </c>
      <c r="J5" s="20"/>
      <c r="K5" s="20"/>
      <c r="L5" s="20"/>
      <c r="M5" s="20"/>
      <c r="N5" s="20"/>
      <c r="O5" s="20"/>
      <c r="P5" s="20"/>
    </row>
    <row r="6" spans="1:19" x14ac:dyDescent="0.2">
      <c r="A6" t="s">
        <v>239</v>
      </c>
      <c r="B6" s="20">
        <f>'group daily intake requirements'!B8*0.3</f>
        <v>668.4</v>
      </c>
      <c r="C6" s="20">
        <f>'group daily intake requirements'!C8*0.3</f>
        <v>13.799999999999999</v>
      </c>
      <c r="D6" s="20">
        <f>'group daily intake requirements'!D8*0.3</f>
        <v>360</v>
      </c>
      <c r="E6" s="20">
        <f>'group daily intake requirements'!E8*0.3</f>
        <v>2.4</v>
      </c>
      <c r="F6" s="20">
        <f>'group daily intake requirements'!F8*0.3</f>
        <v>0.72</v>
      </c>
      <c r="G6" s="20">
        <f>'group daily intake requirements'!G8*0.3</f>
        <v>39</v>
      </c>
      <c r="H6" s="20">
        <f>'group daily intake requirements'!H8*0.3</f>
        <v>6.3</v>
      </c>
    </row>
    <row r="7" spans="1:19" x14ac:dyDescent="0.2">
      <c r="J7" s="3"/>
      <c r="K7" s="3"/>
      <c r="L7" s="3"/>
      <c r="M7" s="3"/>
      <c r="N7" s="3"/>
      <c r="O7" s="3"/>
      <c r="P7" s="3"/>
    </row>
    <row r="8" spans="1:19" x14ac:dyDescent="0.2">
      <c r="J8" s="3"/>
      <c r="K8" s="3"/>
      <c r="L8" s="3"/>
      <c r="M8" s="3"/>
      <c r="N8" s="3"/>
      <c r="O8" s="3"/>
      <c r="P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8D4D-8E0D-BE47-87BD-CA0C0740E6DB}">
  <dimension ref="A1:H11"/>
  <sheetViews>
    <sheetView zoomScale="140" zoomScaleNormal="140" workbookViewId="0">
      <selection activeCell="E8" sqref="E8"/>
    </sheetView>
  </sheetViews>
  <sheetFormatPr baseColWidth="10" defaultRowHeight="15" x14ac:dyDescent="0.2"/>
  <cols>
    <col min="1" max="1" width="24" customWidth="1"/>
    <col min="2" max="8" width="10.83203125" style="20"/>
  </cols>
  <sheetData>
    <row r="1" spans="1:8" x14ac:dyDescent="0.2">
      <c r="A1" s="17" t="s">
        <v>223</v>
      </c>
      <c r="B1" s="19" t="s">
        <v>210</v>
      </c>
      <c r="C1" s="19" t="s">
        <v>214</v>
      </c>
      <c r="D1" s="19" t="s">
        <v>219</v>
      </c>
      <c r="E1" s="19" t="s">
        <v>220</v>
      </c>
      <c r="F1" s="19" t="s">
        <v>224</v>
      </c>
      <c r="G1" s="19" t="s">
        <v>212</v>
      </c>
      <c r="H1" s="19" t="s">
        <v>215</v>
      </c>
    </row>
    <row r="2" spans="1:8" x14ac:dyDescent="0.2">
      <c r="A2" s="27" t="s">
        <v>225</v>
      </c>
      <c r="B2" s="28">
        <f>3067-10*5</f>
        <v>3017</v>
      </c>
      <c r="C2" s="28">
        <v>56</v>
      </c>
      <c r="D2" s="28">
        <v>1000</v>
      </c>
      <c r="E2" s="28">
        <v>8</v>
      </c>
      <c r="F2" s="28">
        <v>2.4</v>
      </c>
      <c r="G2" s="28">
        <v>130</v>
      </c>
      <c r="H2" s="28">
        <v>38</v>
      </c>
    </row>
    <row r="3" spans="1:8" x14ac:dyDescent="0.2">
      <c r="A3" s="27" t="s">
        <v>226</v>
      </c>
      <c r="B3" s="28">
        <f>3067-10*15</f>
        <v>2917</v>
      </c>
      <c r="C3" s="28">
        <v>56</v>
      </c>
      <c r="D3" s="28">
        <v>1000</v>
      </c>
      <c r="E3" s="28">
        <v>8</v>
      </c>
      <c r="F3" s="28">
        <v>2.4</v>
      </c>
      <c r="G3" s="28">
        <v>130</v>
      </c>
      <c r="H3" s="28">
        <v>38</v>
      </c>
    </row>
    <row r="4" spans="1:8" x14ac:dyDescent="0.2">
      <c r="A4" s="13" t="s">
        <v>227</v>
      </c>
      <c r="B4" s="26">
        <f>3067-10*25</f>
        <v>2817</v>
      </c>
      <c r="C4" s="26">
        <v>56</v>
      </c>
      <c r="D4" s="26">
        <v>1200</v>
      </c>
      <c r="E4" s="26">
        <v>8</v>
      </c>
      <c r="F4" s="26">
        <v>2.4</v>
      </c>
      <c r="G4" s="26">
        <v>130</v>
      </c>
      <c r="H4" s="26">
        <v>30</v>
      </c>
    </row>
    <row r="5" spans="1:8" x14ac:dyDescent="0.2">
      <c r="A5" s="13" t="s">
        <v>228</v>
      </c>
      <c r="B5" s="26">
        <f>3067-10*30</f>
        <v>2767</v>
      </c>
      <c r="C5" s="26">
        <v>56</v>
      </c>
      <c r="D5" s="26">
        <v>1200</v>
      </c>
      <c r="E5" s="26">
        <v>8</v>
      </c>
      <c r="F5" s="26">
        <v>2.4</v>
      </c>
      <c r="G5" s="26">
        <v>130</v>
      </c>
      <c r="H5" s="26">
        <v>30</v>
      </c>
    </row>
    <row r="6" spans="1:8" x14ac:dyDescent="0.2">
      <c r="A6" s="8" t="s">
        <v>231</v>
      </c>
      <c r="B6" s="31">
        <f>2403-7*5</f>
        <v>2368</v>
      </c>
      <c r="C6" s="31">
        <v>46</v>
      </c>
      <c r="D6" s="31">
        <v>1000</v>
      </c>
      <c r="E6" s="31">
        <v>18</v>
      </c>
      <c r="F6" s="31">
        <v>2.4</v>
      </c>
      <c r="G6" s="31">
        <v>130</v>
      </c>
      <c r="H6" s="31">
        <v>25</v>
      </c>
    </row>
    <row r="7" spans="1:8" x14ac:dyDescent="0.2">
      <c r="A7" s="8" t="s">
        <v>232</v>
      </c>
      <c r="B7" s="31">
        <f>2403-7*15</f>
        <v>2298</v>
      </c>
      <c r="C7" s="31">
        <v>46</v>
      </c>
      <c r="D7" s="31">
        <v>1000</v>
      </c>
      <c r="E7" s="31">
        <v>18</v>
      </c>
      <c r="F7" s="31">
        <v>2.4</v>
      </c>
      <c r="G7" s="31">
        <v>130</v>
      </c>
      <c r="H7" s="31">
        <v>25</v>
      </c>
    </row>
    <row r="8" spans="1:8" x14ac:dyDescent="0.2">
      <c r="A8" s="29" t="s">
        <v>233</v>
      </c>
      <c r="B8" s="30">
        <f>2403-7*25</f>
        <v>2228</v>
      </c>
      <c r="C8" s="30">
        <v>46</v>
      </c>
      <c r="D8" s="30">
        <v>1200</v>
      </c>
      <c r="E8" s="30">
        <v>8</v>
      </c>
      <c r="F8" s="30">
        <v>2.4</v>
      </c>
      <c r="G8" s="30">
        <v>130</v>
      </c>
      <c r="H8" s="30">
        <v>21</v>
      </c>
    </row>
    <row r="9" spans="1:8" x14ac:dyDescent="0.2">
      <c r="A9" s="29" t="s">
        <v>234</v>
      </c>
      <c r="B9" s="30">
        <f>2403-7*30</f>
        <v>2193</v>
      </c>
      <c r="C9" s="30">
        <v>46</v>
      </c>
      <c r="D9" s="30">
        <v>1200</v>
      </c>
      <c r="E9" s="30">
        <v>8</v>
      </c>
      <c r="F9" s="30">
        <v>2.4</v>
      </c>
      <c r="G9" s="30">
        <v>130</v>
      </c>
      <c r="H9" s="30">
        <v>21</v>
      </c>
    </row>
    <row r="10" spans="1:8" x14ac:dyDescent="0.2">
      <c r="A10" s="14" t="s">
        <v>229</v>
      </c>
      <c r="B10" s="32">
        <f>(2733+2803)/2-7*5</f>
        <v>2733</v>
      </c>
      <c r="C10" s="32">
        <v>71</v>
      </c>
      <c r="D10" s="32">
        <v>1000</v>
      </c>
      <c r="E10" s="32">
        <v>27</v>
      </c>
      <c r="F10" s="32">
        <v>2.6</v>
      </c>
      <c r="G10" s="32">
        <v>175</v>
      </c>
      <c r="H10" s="32">
        <v>28</v>
      </c>
    </row>
    <row r="11" spans="1:8" x14ac:dyDescent="0.2">
      <c r="A11" s="14" t="s">
        <v>230</v>
      </c>
      <c r="B11" s="32">
        <f>(2733+2803)/2-7*15</f>
        <v>2663</v>
      </c>
      <c r="C11" s="32">
        <v>71</v>
      </c>
      <c r="D11" s="32">
        <v>1000</v>
      </c>
      <c r="E11" s="32">
        <v>27</v>
      </c>
      <c r="F11" s="32">
        <v>2.6</v>
      </c>
      <c r="G11" s="32">
        <v>175</v>
      </c>
      <c r="H11" s="32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94"/>
  <sheetViews>
    <sheetView topLeftCell="C1" zoomScale="140" zoomScaleNormal="140" workbookViewId="0">
      <selection activeCell="Q9" sqref="Q9"/>
    </sheetView>
  </sheetViews>
  <sheetFormatPr baseColWidth="10" defaultColWidth="8.83203125" defaultRowHeight="15" x14ac:dyDescent="0.2"/>
  <cols>
    <col min="2" max="2" width="9.1640625" style="1"/>
    <col min="3" max="3" width="42.6640625" customWidth="1"/>
    <col min="4" max="4" width="9.1640625" style="3"/>
    <col min="5" max="9" width="9.33203125" style="3" bestFit="1" customWidth="1"/>
    <col min="10" max="10" width="9.6640625" style="3" bestFit="1" customWidth="1"/>
    <col min="11" max="12" width="9.33203125" style="3" bestFit="1" customWidth="1"/>
    <col min="13" max="16" width="9.1640625" style="3"/>
    <col min="17" max="17" width="41.83203125" customWidth="1"/>
    <col min="18" max="18" width="10.5" customWidth="1"/>
    <col min="19" max="19" width="10.5" bestFit="1" customWidth="1"/>
    <col min="20" max="20" width="11" customWidth="1"/>
  </cols>
  <sheetData>
    <row r="1" spans="2:20" x14ac:dyDescent="0.2">
      <c r="B1" s="1" t="s">
        <v>18</v>
      </c>
      <c r="C1" s="1" t="s">
        <v>19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8</v>
      </c>
      <c r="L1" s="3" t="s">
        <v>9</v>
      </c>
      <c r="M1" s="3" t="s">
        <v>17</v>
      </c>
      <c r="N1" s="3" t="s">
        <v>7</v>
      </c>
      <c r="O1" s="3" t="s">
        <v>10</v>
      </c>
      <c r="P1" s="3" t="s">
        <v>11</v>
      </c>
      <c r="S1" s="3"/>
      <c r="T1" s="3"/>
    </row>
    <row r="2" spans="2:20" x14ac:dyDescent="0.2">
      <c r="D2" s="4" t="s">
        <v>12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14</v>
      </c>
      <c r="K2" s="4" t="s">
        <v>14</v>
      </c>
      <c r="L2" s="4" t="s">
        <v>14</v>
      </c>
      <c r="M2" s="4" t="s">
        <v>15</v>
      </c>
      <c r="N2" s="4" t="s">
        <v>13</v>
      </c>
      <c r="O2" s="4" t="s">
        <v>16</v>
      </c>
      <c r="P2" s="4" t="s">
        <v>13</v>
      </c>
      <c r="S2" s="3"/>
      <c r="T2" s="3"/>
    </row>
    <row r="3" spans="2:20" x14ac:dyDescent="0.2">
      <c r="B3" s="1">
        <v>1</v>
      </c>
      <c r="C3" t="s">
        <v>20</v>
      </c>
      <c r="D3" s="3">
        <v>253.34200000000001</v>
      </c>
      <c r="E3" s="3">
        <v>6.5090000000000003</v>
      </c>
      <c r="F3" s="3">
        <v>36.331699999999998</v>
      </c>
      <c r="G3" s="3">
        <v>2.6229999999999998</v>
      </c>
      <c r="H3" s="3">
        <v>10.157099999999998</v>
      </c>
      <c r="I3" s="3">
        <v>5.5159999999999991</v>
      </c>
      <c r="J3" s="3">
        <v>20.233999999999998</v>
      </c>
      <c r="K3" s="3">
        <v>55.718000000000004</v>
      </c>
      <c r="L3" s="3">
        <v>2.5731999999999999</v>
      </c>
      <c r="M3" s="3">
        <v>0</v>
      </c>
      <c r="N3" s="3">
        <v>90.820000000000007</v>
      </c>
      <c r="O3" s="3">
        <v>239.34524999999996</v>
      </c>
      <c r="P3" s="3">
        <v>3.1724352000000002</v>
      </c>
      <c r="Q3" s="5"/>
      <c r="S3" s="5"/>
      <c r="T3" s="5"/>
    </row>
    <row r="4" spans="2:20" x14ac:dyDescent="0.2">
      <c r="B4" s="1">
        <v>2</v>
      </c>
      <c r="C4" t="s">
        <v>21</v>
      </c>
      <c r="D4" s="3">
        <v>244.64200000000002</v>
      </c>
      <c r="E4" s="3">
        <v>5.0990000000000002</v>
      </c>
      <c r="F4" s="3">
        <v>35.911699999999996</v>
      </c>
      <c r="G4" s="3">
        <v>2.383</v>
      </c>
      <c r="H4" s="3">
        <v>10.907099999999998</v>
      </c>
      <c r="I4" s="3">
        <v>6.7159999999999993</v>
      </c>
      <c r="J4" s="3">
        <v>19.934000000000001</v>
      </c>
      <c r="K4" s="3">
        <v>52.718000000000004</v>
      </c>
      <c r="L4" s="3">
        <v>3.2932000000000001</v>
      </c>
      <c r="M4" s="3">
        <v>0</v>
      </c>
      <c r="N4" s="3">
        <v>80.61999999999999</v>
      </c>
      <c r="O4" s="3">
        <v>265.62524999999994</v>
      </c>
      <c r="P4" s="3">
        <v>3.3524351999999999</v>
      </c>
      <c r="Q4" s="5"/>
      <c r="S4" s="5"/>
      <c r="T4" s="5"/>
    </row>
    <row r="5" spans="2:20" x14ac:dyDescent="0.2">
      <c r="B5" s="1">
        <v>3</v>
      </c>
      <c r="C5" t="s">
        <v>22</v>
      </c>
      <c r="D5" s="3">
        <v>246.14200000000002</v>
      </c>
      <c r="E5" s="3">
        <v>4.9190000000000005</v>
      </c>
      <c r="F5" s="3">
        <v>37.591699999999996</v>
      </c>
      <c r="G5" s="3">
        <v>2.0530000000000004</v>
      </c>
      <c r="H5" s="3">
        <v>10.697099999999999</v>
      </c>
      <c r="I5" s="3">
        <v>5.5759999999999987</v>
      </c>
      <c r="J5" s="3">
        <v>20.834</v>
      </c>
      <c r="K5" s="3">
        <v>30.218</v>
      </c>
      <c r="L5" s="3">
        <v>3.0531999999999999</v>
      </c>
      <c r="M5" s="3">
        <v>0</v>
      </c>
      <c r="N5" s="3">
        <v>98.61999999999999</v>
      </c>
      <c r="O5" s="3">
        <v>290.25524999999993</v>
      </c>
      <c r="P5" s="3">
        <v>3.3020352000000002</v>
      </c>
      <c r="Q5" s="5"/>
      <c r="S5" s="5"/>
      <c r="T5" s="5"/>
    </row>
    <row r="6" spans="2:20" x14ac:dyDescent="0.2">
      <c r="B6" s="1">
        <v>4</v>
      </c>
      <c r="C6" t="s">
        <v>23</v>
      </c>
      <c r="D6" s="3">
        <v>199.42999999999998</v>
      </c>
      <c r="E6" s="3">
        <v>6.57</v>
      </c>
      <c r="F6" s="3">
        <v>26.721</v>
      </c>
      <c r="G6" s="3">
        <v>3.9470000000000005</v>
      </c>
      <c r="H6" s="3">
        <v>6.6519999999999992</v>
      </c>
      <c r="I6" s="3">
        <v>3.2269999999999999</v>
      </c>
      <c r="J6" s="3">
        <v>80.408000000000001</v>
      </c>
      <c r="K6" s="3">
        <v>87.537999999999997</v>
      </c>
      <c r="L6" s="3">
        <v>1.2419999999999998</v>
      </c>
      <c r="M6" s="3">
        <v>0.13200000000000001</v>
      </c>
      <c r="N6" s="3">
        <v>190.68</v>
      </c>
      <c r="O6" s="3">
        <v>194.75425000000001</v>
      </c>
      <c r="P6" s="3">
        <v>4.4223520000000001</v>
      </c>
      <c r="Q6" s="5"/>
      <c r="S6" s="5"/>
      <c r="T6" s="5"/>
    </row>
    <row r="7" spans="2:20" x14ac:dyDescent="0.2">
      <c r="B7" s="1">
        <v>5</v>
      </c>
      <c r="C7" t="s">
        <v>24</v>
      </c>
      <c r="D7" s="3">
        <v>204.16</v>
      </c>
      <c r="E7" s="3">
        <v>6.5420000000000007</v>
      </c>
      <c r="F7" s="3">
        <v>27.281000000000002</v>
      </c>
      <c r="G7" s="3">
        <v>4.2100000000000009</v>
      </c>
      <c r="H7" s="3">
        <v>6.694</v>
      </c>
      <c r="I7" s="3">
        <v>4.6020000000000003</v>
      </c>
      <c r="J7" s="3">
        <v>72.988</v>
      </c>
      <c r="K7" s="3">
        <v>87.727999999999994</v>
      </c>
      <c r="L7" s="3">
        <v>1.3459999999999999</v>
      </c>
      <c r="M7" s="3">
        <v>0.13200000000000001</v>
      </c>
      <c r="N7" s="3">
        <v>170.98</v>
      </c>
      <c r="O7" s="3">
        <v>197.15425000000002</v>
      </c>
      <c r="P7" s="3">
        <v>4.4841759999999997</v>
      </c>
      <c r="Q7" s="5"/>
      <c r="S7" s="5"/>
      <c r="T7" s="5"/>
    </row>
    <row r="8" spans="2:20" x14ac:dyDescent="0.2">
      <c r="B8" s="1">
        <v>6</v>
      </c>
      <c r="C8" t="s">
        <v>25</v>
      </c>
      <c r="D8" s="3">
        <v>327.7</v>
      </c>
      <c r="E8" s="3">
        <v>10.103</v>
      </c>
      <c r="F8" s="3">
        <v>47.71</v>
      </c>
      <c r="G8" s="3">
        <v>2.2839999999999998</v>
      </c>
      <c r="H8" s="3">
        <v>9.0350000000000001</v>
      </c>
      <c r="I8" s="3">
        <v>2.7250000000000001</v>
      </c>
      <c r="J8" s="3">
        <v>271.44</v>
      </c>
      <c r="K8" s="3">
        <v>51.85</v>
      </c>
      <c r="L8" s="3">
        <v>1.1975</v>
      </c>
      <c r="M8" s="3">
        <v>0</v>
      </c>
      <c r="N8" s="3">
        <v>152.44999999999999</v>
      </c>
      <c r="O8" s="3">
        <v>158.07</v>
      </c>
      <c r="P8" s="3">
        <v>4.4123200000000002</v>
      </c>
      <c r="Q8" s="5"/>
      <c r="S8" s="5"/>
      <c r="T8" s="5"/>
    </row>
    <row r="9" spans="2:20" x14ac:dyDescent="0.2">
      <c r="B9" s="1">
        <v>7</v>
      </c>
      <c r="C9" t="s">
        <v>26</v>
      </c>
      <c r="D9" s="3">
        <v>309.90199999999999</v>
      </c>
      <c r="E9" s="3">
        <v>7.0630000000000006</v>
      </c>
      <c r="F9" s="3">
        <v>48.284700000000001</v>
      </c>
      <c r="G9" s="3">
        <v>3.5989999999999993</v>
      </c>
      <c r="H9" s="3">
        <v>10.575100000000001</v>
      </c>
      <c r="I9" s="3">
        <v>3.3450000000000002</v>
      </c>
      <c r="J9" s="3">
        <v>131.86999999999998</v>
      </c>
      <c r="K9" s="3">
        <v>83.658000000000001</v>
      </c>
      <c r="L9" s="3">
        <v>1.7062000000000002</v>
      </c>
      <c r="M9" s="3">
        <v>0.13200000000000001</v>
      </c>
      <c r="N9" s="3">
        <v>267.41999999999996</v>
      </c>
      <c r="O9" s="3">
        <v>238.51725000000002</v>
      </c>
      <c r="P9" s="3">
        <v>5.6095072000000004</v>
      </c>
      <c r="Q9" s="5"/>
      <c r="S9" s="5"/>
      <c r="T9" s="5"/>
    </row>
    <row r="10" spans="2:20" x14ac:dyDescent="0.2">
      <c r="B10" s="1">
        <v>8</v>
      </c>
      <c r="C10" t="s">
        <v>27</v>
      </c>
      <c r="D10" s="3">
        <v>307.54000000000002</v>
      </c>
      <c r="E10" s="3">
        <v>7.0280000000000005</v>
      </c>
      <c r="F10" s="3">
        <v>47.856999999999999</v>
      </c>
      <c r="G10" s="3">
        <v>3.2729999999999997</v>
      </c>
      <c r="H10" s="3">
        <v>10.531000000000001</v>
      </c>
      <c r="I10" s="3">
        <v>3.1659999999999999</v>
      </c>
      <c r="J10" s="3">
        <v>128.13999999999999</v>
      </c>
      <c r="K10" s="3">
        <v>81.487999999999985</v>
      </c>
      <c r="L10" s="3">
        <v>1.6929999999999998</v>
      </c>
      <c r="M10" s="3">
        <v>0.13200000000000001</v>
      </c>
      <c r="N10" s="3">
        <v>265.58</v>
      </c>
      <c r="O10" s="3">
        <v>237.06825000000001</v>
      </c>
      <c r="P10" s="3">
        <v>5.5445920000000006</v>
      </c>
      <c r="Q10" s="5"/>
      <c r="S10" s="5"/>
      <c r="T10" s="5"/>
    </row>
    <row r="11" spans="2:20" x14ac:dyDescent="0.2">
      <c r="B11" s="1">
        <v>9</v>
      </c>
      <c r="C11" t="s">
        <v>28</v>
      </c>
      <c r="D11" s="3">
        <v>314.09800000000001</v>
      </c>
      <c r="E11" s="3">
        <v>7.1180000000000003</v>
      </c>
      <c r="F11" s="3">
        <v>49.067799999999998</v>
      </c>
      <c r="G11" s="3">
        <v>4.2119999999999997</v>
      </c>
      <c r="H11" s="3">
        <v>10.644400000000001</v>
      </c>
      <c r="I11" s="3">
        <v>3.6369999999999996</v>
      </c>
      <c r="J11" s="3">
        <v>136.95999999999998</v>
      </c>
      <c r="K11" s="3">
        <v>86.617999999999995</v>
      </c>
      <c r="L11" s="3">
        <v>1.7308000000000001</v>
      </c>
      <c r="M11" s="3">
        <v>0.13200000000000001</v>
      </c>
      <c r="N11" s="3">
        <v>270.14</v>
      </c>
      <c r="O11" s="3">
        <v>240.70425</v>
      </c>
      <c r="P11" s="3">
        <v>5.7115168000000009</v>
      </c>
      <c r="Q11" s="5"/>
      <c r="S11" s="5"/>
      <c r="T11" s="5"/>
    </row>
    <row r="12" spans="2:20" x14ac:dyDescent="0.2">
      <c r="B12" s="1">
        <v>10</v>
      </c>
      <c r="C12" t="s">
        <v>29</v>
      </c>
      <c r="D12" s="3">
        <v>313.202</v>
      </c>
      <c r="E12" s="3">
        <v>7.1150000000000002</v>
      </c>
      <c r="F12" s="3">
        <v>48.6447</v>
      </c>
      <c r="G12" s="3">
        <v>3.9569999999999999</v>
      </c>
      <c r="H12" s="3">
        <v>10.821100000000001</v>
      </c>
      <c r="I12" s="3">
        <v>3.5550000000000002</v>
      </c>
      <c r="J12" s="3">
        <v>133.66999999999999</v>
      </c>
      <c r="K12" s="3">
        <v>87.397999999999996</v>
      </c>
      <c r="L12" s="3">
        <v>1.7782000000000002</v>
      </c>
      <c r="M12" s="3">
        <v>0.13200000000000001</v>
      </c>
      <c r="N12" s="3">
        <v>281.41999999999996</v>
      </c>
      <c r="O12" s="3">
        <v>245.23724999999999</v>
      </c>
      <c r="P12" s="3">
        <v>5.9716192000000001</v>
      </c>
      <c r="Q12" s="5"/>
      <c r="S12" s="5"/>
      <c r="T12" s="5"/>
    </row>
    <row r="13" spans="2:20" x14ac:dyDescent="0.2">
      <c r="B13" s="1">
        <v>11</v>
      </c>
      <c r="C13" t="s">
        <v>30</v>
      </c>
      <c r="D13" s="3">
        <v>285.83999999999997</v>
      </c>
      <c r="E13" s="3">
        <v>5.4730000000000008</v>
      </c>
      <c r="F13" s="3">
        <v>47.572000000000003</v>
      </c>
      <c r="G13" s="3">
        <v>2.9879999999999995</v>
      </c>
      <c r="H13" s="3">
        <v>8.9260000000000002</v>
      </c>
      <c r="I13" s="3">
        <v>3.1160000000000001</v>
      </c>
      <c r="J13" s="3">
        <v>96.24</v>
      </c>
      <c r="K13" s="3">
        <v>31.237999999999996</v>
      </c>
      <c r="L13" s="3">
        <v>1.6679999999999999</v>
      </c>
      <c r="M13" s="3">
        <v>0</v>
      </c>
      <c r="N13" s="3">
        <v>201.78</v>
      </c>
      <c r="O13" s="3">
        <v>184.61699999999999</v>
      </c>
      <c r="P13" s="3">
        <v>4.2518719999999997</v>
      </c>
      <c r="Q13" s="5"/>
      <c r="S13" s="5"/>
      <c r="T13" s="5"/>
    </row>
    <row r="14" spans="2:20" x14ac:dyDescent="0.2">
      <c r="B14" s="1">
        <v>12</v>
      </c>
      <c r="C14" t="s">
        <v>31</v>
      </c>
      <c r="D14" s="3">
        <v>285.83999999999997</v>
      </c>
      <c r="E14" s="3">
        <v>5.4730000000000008</v>
      </c>
      <c r="F14" s="3">
        <v>47.572000000000003</v>
      </c>
      <c r="G14" s="3">
        <v>2.9879999999999995</v>
      </c>
      <c r="H14" s="3">
        <v>8.9260000000000002</v>
      </c>
      <c r="I14" s="3">
        <v>3.1160000000000001</v>
      </c>
      <c r="J14" s="3">
        <v>96.24</v>
      </c>
      <c r="K14" s="3">
        <v>31.237999999999996</v>
      </c>
      <c r="L14" s="3">
        <v>1.6679999999999999</v>
      </c>
      <c r="M14" s="3">
        <v>0</v>
      </c>
      <c r="N14" s="3">
        <v>201.78</v>
      </c>
      <c r="O14" s="3">
        <v>184.61699999999999</v>
      </c>
      <c r="P14" s="3">
        <v>4.2518719999999997</v>
      </c>
      <c r="Q14" s="5"/>
      <c r="S14" s="5"/>
      <c r="T14" s="5"/>
    </row>
    <row r="15" spans="2:20" x14ac:dyDescent="0.2">
      <c r="B15" s="1">
        <v>13</v>
      </c>
      <c r="C15" t="s">
        <v>32</v>
      </c>
      <c r="D15" s="3">
        <v>299.5</v>
      </c>
      <c r="E15" s="3">
        <v>6.9080000000000004</v>
      </c>
      <c r="F15" s="3">
        <v>47.064999999999998</v>
      </c>
      <c r="G15" s="3">
        <v>2.4850000000000003</v>
      </c>
      <c r="H15" s="3">
        <v>10.167000000000002</v>
      </c>
      <c r="I15" s="3">
        <v>2.57</v>
      </c>
      <c r="J15" s="3">
        <v>42.14</v>
      </c>
      <c r="K15" s="3">
        <v>72.087999999999994</v>
      </c>
      <c r="L15" s="3">
        <v>1.2209999999999999</v>
      </c>
      <c r="M15" s="3">
        <v>0.13200000000000001</v>
      </c>
      <c r="N15" s="3">
        <v>189.58</v>
      </c>
      <c r="O15" s="3">
        <v>229.14824999999999</v>
      </c>
      <c r="P15" s="3">
        <v>5.0087840000000003</v>
      </c>
      <c r="Q15" s="5"/>
      <c r="S15" s="5"/>
      <c r="T15" s="5"/>
    </row>
    <row r="16" spans="2:20" x14ac:dyDescent="0.2">
      <c r="B16" s="1">
        <v>14</v>
      </c>
      <c r="C16" t="s">
        <v>33</v>
      </c>
      <c r="D16" s="3">
        <v>194.89200000000002</v>
      </c>
      <c r="E16" s="3">
        <v>6.2230000000000008</v>
      </c>
      <c r="F16" s="3">
        <v>27.121700000000001</v>
      </c>
      <c r="G16" s="3">
        <v>1.7469999999999999</v>
      </c>
      <c r="H16" s="3">
        <v>6.0900999999999996</v>
      </c>
      <c r="I16" s="3">
        <v>1.9760000000000002</v>
      </c>
      <c r="J16" s="3">
        <v>49.966000000000001</v>
      </c>
      <c r="K16" s="3">
        <v>66.408000000000001</v>
      </c>
      <c r="L16" s="3">
        <v>0.93120000000000003</v>
      </c>
      <c r="M16" s="3">
        <v>0.13200000000000001</v>
      </c>
      <c r="N16" s="3">
        <v>137.62</v>
      </c>
      <c r="O16" s="3">
        <v>181.67925</v>
      </c>
      <c r="P16" s="3">
        <v>3.1044831999999998</v>
      </c>
      <c r="Q16" s="5"/>
      <c r="S16" s="5"/>
      <c r="T16" s="5"/>
    </row>
    <row r="17" spans="2:20" x14ac:dyDescent="0.2">
      <c r="B17" s="1">
        <v>15</v>
      </c>
      <c r="C17" t="s">
        <v>34</v>
      </c>
      <c r="D17" s="3">
        <v>199.69200000000004</v>
      </c>
      <c r="E17" s="3">
        <v>5.9590000000000005</v>
      </c>
      <c r="F17" s="3">
        <v>30.781700000000001</v>
      </c>
      <c r="G17" s="3">
        <v>1.159</v>
      </c>
      <c r="H17" s="3">
        <v>4.7520999999999995</v>
      </c>
      <c r="I17" s="3">
        <v>1.391</v>
      </c>
      <c r="J17" s="3">
        <v>47.89</v>
      </c>
      <c r="K17" s="3">
        <v>70.158000000000001</v>
      </c>
      <c r="L17" s="3">
        <v>0.95219999999999994</v>
      </c>
      <c r="M17" s="3">
        <v>0.13200000000000001</v>
      </c>
      <c r="N17" s="3">
        <v>167.02</v>
      </c>
      <c r="O17" s="3">
        <v>184.33425</v>
      </c>
      <c r="P17" s="3">
        <v>2.6120992000000003</v>
      </c>
      <c r="Q17" s="5"/>
      <c r="S17" s="5"/>
      <c r="T17" s="5"/>
    </row>
    <row r="18" spans="2:20" x14ac:dyDescent="0.2">
      <c r="B18" s="1">
        <v>16</v>
      </c>
      <c r="C18" t="s">
        <v>35</v>
      </c>
      <c r="D18" s="3">
        <v>321.10200000000003</v>
      </c>
      <c r="E18" s="3">
        <v>6.447000000000001</v>
      </c>
      <c r="F18" s="3">
        <v>56.8247</v>
      </c>
      <c r="G18" s="3">
        <v>2.2269999999999999</v>
      </c>
      <c r="H18" s="3">
        <v>7.4530999999999992</v>
      </c>
      <c r="I18" s="3">
        <v>1.98</v>
      </c>
      <c r="J18" s="3">
        <v>127.026</v>
      </c>
      <c r="K18" s="3">
        <v>92.408000000000001</v>
      </c>
      <c r="L18" s="3">
        <v>1.7552000000000001</v>
      </c>
      <c r="M18" s="3">
        <v>0.13200000000000001</v>
      </c>
      <c r="N18" s="3">
        <v>336.02</v>
      </c>
      <c r="O18" s="3">
        <v>244.71225000000001</v>
      </c>
      <c r="P18" s="3">
        <v>4.4606111999999998</v>
      </c>
      <c r="Q18" s="5"/>
      <c r="S18" s="5"/>
      <c r="T18" s="5"/>
    </row>
    <row r="19" spans="2:20" x14ac:dyDescent="0.2">
      <c r="B19" s="1">
        <v>17</v>
      </c>
      <c r="C19" t="s">
        <v>36</v>
      </c>
      <c r="D19" s="3">
        <v>304.10000000000002</v>
      </c>
      <c r="E19" s="3">
        <v>6.1880000000000006</v>
      </c>
      <c r="F19" s="3">
        <v>54.884999999999998</v>
      </c>
      <c r="G19" s="3">
        <v>0.39700000000000002</v>
      </c>
      <c r="H19" s="3">
        <v>6.552999999999999</v>
      </c>
      <c r="I19" s="3">
        <v>0.78500000000000003</v>
      </c>
      <c r="J19" s="3">
        <v>33.695999999999998</v>
      </c>
      <c r="K19" s="3">
        <v>73.35799999999999</v>
      </c>
      <c r="L19" s="3">
        <v>1.1259999999999999</v>
      </c>
      <c r="M19" s="3">
        <v>0.13200000000000001</v>
      </c>
      <c r="N19" s="3">
        <v>230.18000000000004</v>
      </c>
      <c r="O19" s="3">
        <v>221.90325000000001</v>
      </c>
      <c r="P19" s="3">
        <v>3.1356640000000002</v>
      </c>
      <c r="Q19" s="5"/>
      <c r="S19" s="5"/>
      <c r="T19" s="5"/>
    </row>
    <row r="20" spans="2:20" x14ac:dyDescent="0.2">
      <c r="B20" s="1">
        <v>18</v>
      </c>
      <c r="C20" t="s">
        <v>37</v>
      </c>
      <c r="D20" s="3">
        <v>316.3</v>
      </c>
      <c r="E20" s="3">
        <v>6.2480000000000011</v>
      </c>
      <c r="F20" s="3">
        <v>56.184999999999995</v>
      </c>
      <c r="G20" s="3">
        <v>1.1970000000000001</v>
      </c>
      <c r="H20" s="3">
        <v>7.6329999999999991</v>
      </c>
      <c r="I20" s="3">
        <v>2.0449999999999999</v>
      </c>
      <c r="J20" s="3">
        <v>59.496000000000002</v>
      </c>
      <c r="K20" s="3">
        <v>77.35799999999999</v>
      </c>
      <c r="L20" s="3">
        <v>1.526</v>
      </c>
      <c r="M20" s="3">
        <v>0.13200000000000001</v>
      </c>
      <c r="N20" s="3">
        <v>239.18000000000004</v>
      </c>
      <c r="O20" s="3">
        <v>261.48325</v>
      </c>
      <c r="P20" s="3">
        <v>3.3948640000000001</v>
      </c>
      <c r="Q20" s="5"/>
      <c r="S20" s="5"/>
      <c r="T20" s="5"/>
    </row>
    <row r="21" spans="2:20" x14ac:dyDescent="0.2">
      <c r="B21" s="1">
        <v>19</v>
      </c>
      <c r="C21" t="s">
        <v>38</v>
      </c>
      <c r="D21" s="3">
        <v>310.10000000000002</v>
      </c>
      <c r="E21" s="3">
        <v>6.2780000000000005</v>
      </c>
      <c r="F21" s="3">
        <v>55.695</v>
      </c>
      <c r="G21" s="3">
        <v>1.2070000000000001</v>
      </c>
      <c r="H21" s="3">
        <v>6.8229999999999995</v>
      </c>
      <c r="I21" s="3">
        <v>1.2649999999999999</v>
      </c>
      <c r="J21" s="3">
        <v>36.695999999999998</v>
      </c>
      <c r="K21" s="3">
        <v>101.258</v>
      </c>
      <c r="L21" s="3">
        <v>1.6359999999999999</v>
      </c>
      <c r="M21" s="3">
        <v>0.13200000000000001</v>
      </c>
      <c r="N21" s="3">
        <v>242.48000000000005</v>
      </c>
      <c r="O21" s="3">
        <v>229.01325</v>
      </c>
      <c r="P21" s="3">
        <v>3.5331039999999998</v>
      </c>
      <c r="Q21" s="5"/>
      <c r="S21" s="5"/>
      <c r="T21" s="5"/>
    </row>
    <row r="22" spans="2:20" x14ac:dyDescent="0.2">
      <c r="B22" s="1">
        <v>20</v>
      </c>
      <c r="C22" t="s">
        <v>39</v>
      </c>
      <c r="D22" s="3">
        <v>312.8</v>
      </c>
      <c r="E22" s="3">
        <v>6.218</v>
      </c>
      <c r="F22" s="3">
        <v>55.934999999999995</v>
      </c>
      <c r="G22" s="3">
        <v>1.147</v>
      </c>
      <c r="H22" s="3">
        <v>6.8829999999999991</v>
      </c>
      <c r="I22" s="3">
        <v>2.4349999999999996</v>
      </c>
      <c r="J22" s="3">
        <v>33.695999999999998</v>
      </c>
      <c r="K22" s="3">
        <v>79.35799999999999</v>
      </c>
      <c r="L22" s="3">
        <v>1.3959999999999999</v>
      </c>
      <c r="M22" s="3">
        <v>0.13200000000000001</v>
      </c>
      <c r="N22" s="3">
        <v>237.38000000000002</v>
      </c>
      <c r="O22" s="3">
        <v>233.90325000000001</v>
      </c>
      <c r="P22" s="3">
        <v>3.6214240000000002</v>
      </c>
      <c r="Q22" s="5"/>
      <c r="S22" s="5"/>
      <c r="T22" s="5"/>
    </row>
    <row r="23" spans="2:20" x14ac:dyDescent="0.2">
      <c r="B23" s="1">
        <v>21</v>
      </c>
      <c r="C23" t="s">
        <v>40</v>
      </c>
      <c r="D23" s="3">
        <v>309.05</v>
      </c>
      <c r="E23" s="3">
        <v>6.266</v>
      </c>
      <c r="F23" s="3">
        <v>55.424999999999997</v>
      </c>
      <c r="G23" s="3">
        <v>0.93399999999999994</v>
      </c>
      <c r="H23" s="3">
        <v>6.9219999999999988</v>
      </c>
      <c r="I23" s="3">
        <v>1.1000000000000001</v>
      </c>
      <c r="J23" s="3">
        <v>36.396000000000001</v>
      </c>
      <c r="K23" s="3">
        <v>78.968000000000004</v>
      </c>
      <c r="L23" s="3">
        <v>1.2339999999999998</v>
      </c>
      <c r="M23" s="3">
        <v>0.13200000000000001</v>
      </c>
      <c r="N23" s="3">
        <v>251.18000000000004</v>
      </c>
      <c r="O23" s="3">
        <v>231.98325000000003</v>
      </c>
      <c r="P23" s="3">
        <v>3.6788319999999999</v>
      </c>
      <c r="Q23" s="5"/>
      <c r="S23" s="5"/>
      <c r="T23" s="5"/>
    </row>
    <row r="24" spans="2:20" x14ac:dyDescent="0.2">
      <c r="B24" s="1">
        <v>22</v>
      </c>
      <c r="C24" t="s">
        <v>41</v>
      </c>
      <c r="D24" s="3">
        <v>211.3</v>
      </c>
      <c r="E24" s="3">
        <v>5.8659999999999997</v>
      </c>
      <c r="F24" s="3">
        <v>29.855</v>
      </c>
      <c r="G24" s="3">
        <v>3.133</v>
      </c>
      <c r="H24" s="3">
        <v>7.375</v>
      </c>
      <c r="I24" s="3">
        <v>4.3999999999999995</v>
      </c>
      <c r="J24" s="3">
        <v>68.930000000000007</v>
      </c>
      <c r="K24" s="3">
        <v>19.46</v>
      </c>
      <c r="L24" s="3">
        <v>1.6225000000000001</v>
      </c>
      <c r="M24" s="3">
        <v>0</v>
      </c>
      <c r="N24" s="3">
        <v>88.35</v>
      </c>
      <c r="O24" s="3">
        <v>232.81875000000002</v>
      </c>
      <c r="P24" s="3">
        <v>2.4512</v>
      </c>
      <c r="Q24" s="5"/>
      <c r="S24" s="5"/>
      <c r="T24" s="5"/>
    </row>
    <row r="25" spans="2:20" x14ac:dyDescent="0.2">
      <c r="B25" s="1">
        <v>23</v>
      </c>
      <c r="C25" t="s">
        <v>42</v>
      </c>
      <c r="D25" s="3">
        <v>306.18</v>
      </c>
      <c r="E25" s="3">
        <v>6.2759999999999998</v>
      </c>
      <c r="F25" s="3">
        <v>56.771999999999998</v>
      </c>
      <c r="G25" s="3">
        <v>1.1739999999999999</v>
      </c>
      <c r="H25" s="3">
        <v>6.6829999999999989</v>
      </c>
      <c r="I25" s="3">
        <v>0.91500000000000004</v>
      </c>
      <c r="J25" s="3">
        <v>40.096000000000004</v>
      </c>
      <c r="K25" s="3">
        <v>76.908000000000001</v>
      </c>
      <c r="L25" s="3">
        <v>1.1689999999999998</v>
      </c>
      <c r="M25" s="3">
        <v>0.13200000000000001</v>
      </c>
      <c r="N25" s="3">
        <v>280.5</v>
      </c>
      <c r="O25" s="3">
        <v>241.8135</v>
      </c>
      <c r="P25" s="3">
        <v>3.3270240000000002</v>
      </c>
      <c r="Q25" s="5"/>
      <c r="S25" s="5"/>
      <c r="T25" s="5"/>
    </row>
    <row r="26" spans="2:20" x14ac:dyDescent="0.2">
      <c r="B26" s="1">
        <v>24</v>
      </c>
      <c r="C26" t="s">
        <v>43</v>
      </c>
      <c r="D26" s="3">
        <v>279.565</v>
      </c>
      <c r="E26" s="3">
        <v>5.4180000000000001</v>
      </c>
      <c r="F26" s="3">
        <v>43.504999999999995</v>
      </c>
      <c r="G26" s="3">
        <v>1.841</v>
      </c>
      <c r="H26" s="3">
        <v>11.571</v>
      </c>
      <c r="I26" s="3">
        <v>6.5200000000000005</v>
      </c>
      <c r="J26" s="3">
        <v>40.488</v>
      </c>
      <c r="K26" s="3">
        <v>108.31100000000001</v>
      </c>
      <c r="L26" s="3">
        <v>3.4710000000000001</v>
      </c>
      <c r="M26" s="3">
        <v>0.13200000000000001</v>
      </c>
      <c r="N26" s="3">
        <v>163.41000000000003</v>
      </c>
      <c r="O26" s="3">
        <v>316.77575000000002</v>
      </c>
      <c r="P26" s="3">
        <v>4.1235679999999997</v>
      </c>
      <c r="Q26" s="5"/>
      <c r="S26" s="5"/>
      <c r="T26" s="5"/>
    </row>
    <row r="27" spans="2:20" x14ac:dyDescent="0.2">
      <c r="B27" s="1">
        <v>25</v>
      </c>
      <c r="C27" t="s">
        <v>44</v>
      </c>
      <c r="D27" s="3">
        <v>309.29000000000002</v>
      </c>
      <c r="E27" s="3">
        <v>7.1869999999999994</v>
      </c>
      <c r="F27" s="3">
        <v>43.194000000000003</v>
      </c>
      <c r="G27" s="3">
        <v>2.7409999999999997</v>
      </c>
      <c r="H27" s="3">
        <v>14.3446</v>
      </c>
      <c r="I27" s="3">
        <v>8.1750000000000007</v>
      </c>
      <c r="J27" s="3">
        <v>85.236000000000004</v>
      </c>
      <c r="K27" s="3">
        <v>117.876</v>
      </c>
      <c r="L27" s="3">
        <v>3.9591000000000003</v>
      </c>
      <c r="M27" s="3">
        <v>0.13200000000000001</v>
      </c>
      <c r="N27" s="3">
        <v>148.20000000000002</v>
      </c>
      <c r="O27" s="3">
        <v>350.55574999999999</v>
      </c>
      <c r="P27" s="3">
        <v>5.1650271999999999</v>
      </c>
      <c r="Q27" s="5"/>
      <c r="S27" s="5"/>
      <c r="T27" s="5"/>
    </row>
    <row r="28" spans="2:20" x14ac:dyDescent="0.2">
      <c r="B28" s="1">
        <v>26</v>
      </c>
      <c r="C28" t="s">
        <v>45</v>
      </c>
      <c r="D28" s="3">
        <v>315.33999999999997</v>
      </c>
      <c r="E28" s="3">
        <v>7.1829999999999998</v>
      </c>
      <c r="F28" s="3">
        <v>48.612000000000002</v>
      </c>
      <c r="G28" s="3">
        <v>4.0279999999999996</v>
      </c>
      <c r="H28" s="3">
        <v>10.881</v>
      </c>
      <c r="I28" s="3">
        <v>4.1560000000000006</v>
      </c>
      <c r="J28" s="3">
        <v>128.83999999999997</v>
      </c>
      <c r="K28" s="3">
        <v>86.238</v>
      </c>
      <c r="L28" s="3">
        <v>1.7529999999999999</v>
      </c>
      <c r="M28" s="3">
        <v>0.13200000000000001</v>
      </c>
      <c r="N28" s="3">
        <v>272.08</v>
      </c>
      <c r="O28" s="3">
        <v>250.09700000000001</v>
      </c>
      <c r="P28" s="3">
        <v>6.0597920000000007</v>
      </c>
      <c r="Q28" s="5"/>
      <c r="S28" s="5"/>
      <c r="T28" s="5"/>
    </row>
    <row r="29" spans="2:20" x14ac:dyDescent="0.2">
      <c r="B29" s="1">
        <v>27</v>
      </c>
      <c r="C29" t="s">
        <v>46</v>
      </c>
      <c r="D29" s="3">
        <v>317.58000000000004</v>
      </c>
      <c r="E29" s="3">
        <v>6.2690000000000001</v>
      </c>
      <c r="F29" s="3">
        <v>55.942</v>
      </c>
      <c r="G29" s="3">
        <v>1.214</v>
      </c>
      <c r="H29" s="3">
        <v>7.6429999999999989</v>
      </c>
      <c r="I29" s="3">
        <v>2.9950000000000001</v>
      </c>
      <c r="J29" s="3">
        <v>86.995999999999995</v>
      </c>
      <c r="K29" s="3">
        <v>108.008</v>
      </c>
      <c r="L29" s="3">
        <v>1.53</v>
      </c>
      <c r="M29" s="3">
        <v>0.13200000000000001</v>
      </c>
      <c r="N29" s="3">
        <v>243.6</v>
      </c>
      <c r="O29" s="3">
        <v>254.9135</v>
      </c>
      <c r="P29" s="3">
        <v>4.7401439999999999</v>
      </c>
      <c r="Q29" s="5"/>
      <c r="S29" s="5"/>
      <c r="T29" s="5"/>
    </row>
    <row r="30" spans="2:20" x14ac:dyDescent="0.2">
      <c r="B30" s="1">
        <v>28</v>
      </c>
      <c r="C30" t="s">
        <v>47</v>
      </c>
      <c r="D30" s="3">
        <v>190.44500000000002</v>
      </c>
      <c r="E30" s="3">
        <v>5.9860000000000007</v>
      </c>
      <c r="F30" s="3">
        <v>26.5685</v>
      </c>
      <c r="G30" s="3">
        <v>2.2150000000000003</v>
      </c>
      <c r="H30" s="3">
        <v>6.0574999999999992</v>
      </c>
      <c r="I30" s="3">
        <v>3.0754999999999999</v>
      </c>
      <c r="J30" s="3">
        <v>101.18400000000001</v>
      </c>
      <c r="K30" s="3">
        <v>71.322999999999993</v>
      </c>
      <c r="L30" s="3">
        <v>1.4135</v>
      </c>
      <c r="M30" s="3">
        <v>0.13200000000000001</v>
      </c>
      <c r="N30" s="3">
        <v>180.08</v>
      </c>
      <c r="O30" s="3">
        <v>241.18824999999998</v>
      </c>
      <c r="P30" s="3">
        <v>2.8540320000000001</v>
      </c>
      <c r="Q30" s="5"/>
      <c r="S30" s="5"/>
      <c r="T30" s="5"/>
    </row>
    <row r="31" spans="2:20" x14ac:dyDescent="0.2">
      <c r="B31" s="1">
        <v>29</v>
      </c>
      <c r="C31" t="s">
        <v>48</v>
      </c>
      <c r="D31" s="3">
        <v>319.3</v>
      </c>
      <c r="E31" s="3">
        <v>7.8629999999999995</v>
      </c>
      <c r="F31" s="3">
        <v>48.445</v>
      </c>
      <c r="G31" s="3">
        <v>3.2690000000000001</v>
      </c>
      <c r="H31" s="3">
        <v>10.340000000000002</v>
      </c>
      <c r="I31" s="3">
        <v>5.45</v>
      </c>
      <c r="J31" s="3">
        <v>38.589999999999996</v>
      </c>
      <c r="K31" s="3">
        <v>76.61</v>
      </c>
      <c r="L31" s="3">
        <v>1.6174999999999999</v>
      </c>
      <c r="M31" s="3">
        <v>0.13200000000000001</v>
      </c>
      <c r="N31" s="3">
        <v>179.25</v>
      </c>
      <c r="O31" s="3">
        <v>254.12374999999997</v>
      </c>
      <c r="P31" s="3">
        <v>5.263440000000001</v>
      </c>
      <c r="Q31" s="5"/>
      <c r="S31" s="5"/>
      <c r="T31" s="5"/>
    </row>
    <row r="32" spans="2:20" x14ac:dyDescent="0.2">
      <c r="B32" s="1">
        <v>30</v>
      </c>
      <c r="C32" t="s">
        <v>49</v>
      </c>
      <c r="D32" s="3">
        <v>304.40999999999997</v>
      </c>
      <c r="E32" s="3">
        <v>8.0358000000000001</v>
      </c>
      <c r="F32" s="3">
        <v>46.967000000000006</v>
      </c>
      <c r="G32" s="3">
        <v>2.2494000000000001</v>
      </c>
      <c r="H32" s="3">
        <v>8.7128000000000014</v>
      </c>
      <c r="I32" s="3">
        <v>3.1420000000000003</v>
      </c>
      <c r="J32" s="3">
        <v>261.41000000000003</v>
      </c>
      <c r="K32" s="3">
        <v>30.42</v>
      </c>
      <c r="L32" s="3">
        <v>1.5905</v>
      </c>
      <c r="M32" s="3">
        <v>5.1000000000000004E-4</v>
      </c>
      <c r="N32" s="3">
        <v>161.63999999999999</v>
      </c>
      <c r="O32" s="3">
        <v>219.21350000000001</v>
      </c>
      <c r="P32" s="3">
        <v>3.9380416</v>
      </c>
      <c r="Q32" s="5"/>
      <c r="S32" s="5"/>
      <c r="T32" s="5"/>
    </row>
    <row r="33" spans="2:20" x14ac:dyDescent="0.2">
      <c r="B33" s="1">
        <v>31</v>
      </c>
      <c r="C33" t="s">
        <v>50</v>
      </c>
      <c r="D33" s="3">
        <v>224.5</v>
      </c>
      <c r="E33" s="3">
        <v>6.0380000000000003</v>
      </c>
      <c r="F33" s="3">
        <v>33.54</v>
      </c>
      <c r="G33" s="3">
        <v>0.8640000000000001</v>
      </c>
      <c r="H33" s="3">
        <v>6.2759999999999998</v>
      </c>
      <c r="I33" s="3">
        <v>4.17</v>
      </c>
      <c r="J33" s="3">
        <v>34.652000000000001</v>
      </c>
      <c r="K33" s="3">
        <v>69.147999999999996</v>
      </c>
      <c r="L33" s="3">
        <v>1.4849999999999999</v>
      </c>
      <c r="M33" s="3">
        <v>0.13200000000000001</v>
      </c>
      <c r="N33" s="3">
        <v>109.38000000000001</v>
      </c>
      <c r="O33" s="3">
        <v>195.73599999999999</v>
      </c>
      <c r="P33" s="3">
        <v>2.9232320000000005</v>
      </c>
      <c r="Q33" s="5"/>
      <c r="S33" s="5"/>
      <c r="T33" s="5"/>
    </row>
    <row r="34" spans="2:20" x14ac:dyDescent="0.2">
      <c r="B34" s="1">
        <v>32</v>
      </c>
      <c r="C34" t="s">
        <v>51</v>
      </c>
      <c r="D34" s="3">
        <v>182.9</v>
      </c>
      <c r="E34" s="3">
        <v>6.2390000000000008</v>
      </c>
      <c r="F34" s="3">
        <v>25.139999999999997</v>
      </c>
      <c r="G34" s="3">
        <v>0.28799999999999998</v>
      </c>
      <c r="H34" s="3">
        <v>5.7269999999999994</v>
      </c>
      <c r="I34" s="3">
        <v>1.4549999999999998</v>
      </c>
      <c r="J34" s="3">
        <v>92.284000000000006</v>
      </c>
      <c r="K34" s="3">
        <v>105.70799999999998</v>
      </c>
      <c r="L34" s="3">
        <v>2.2179999999999995</v>
      </c>
      <c r="M34" s="3">
        <v>0.13200000000000001</v>
      </c>
      <c r="N34" s="3">
        <v>161.88000000000002</v>
      </c>
      <c r="O34" s="3">
        <v>174.09199999999998</v>
      </c>
      <c r="P34" s="3">
        <v>5.0286560000000007</v>
      </c>
      <c r="Q34" s="5"/>
      <c r="S34" s="5"/>
      <c r="T34" s="5"/>
    </row>
    <row r="35" spans="2:20" x14ac:dyDescent="0.2">
      <c r="B35" s="1">
        <v>33</v>
      </c>
      <c r="C35" t="s">
        <v>52</v>
      </c>
      <c r="D35" s="3">
        <v>221.79999999999998</v>
      </c>
      <c r="E35" s="3">
        <v>5.9670000000000005</v>
      </c>
      <c r="F35" s="3">
        <v>34.64</v>
      </c>
      <c r="G35" s="3">
        <v>2.036</v>
      </c>
      <c r="H35" s="3">
        <v>5.7829999999999995</v>
      </c>
      <c r="I35" s="3">
        <v>2.5549999999999997</v>
      </c>
      <c r="J35" s="3">
        <v>32.548000000000002</v>
      </c>
      <c r="K35" s="3">
        <v>105.96799999999999</v>
      </c>
      <c r="L35" s="3">
        <v>1.3960000000000001</v>
      </c>
      <c r="M35" s="3">
        <v>0.13200000000000001</v>
      </c>
      <c r="N35" s="3">
        <v>165.08</v>
      </c>
      <c r="O35" s="3">
        <v>201.06</v>
      </c>
      <c r="P35" s="3">
        <v>3.6388320000000007</v>
      </c>
      <c r="Q35" s="5"/>
      <c r="S35" s="5"/>
      <c r="T35" s="5"/>
    </row>
    <row r="36" spans="2:20" x14ac:dyDescent="0.2">
      <c r="B36" s="1">
        <v>34</v>
      </c>
      <c r="C36" t="s">
        <v>53</v>
      </c>
      <c r="D36" s="3">
        <v>323.71000000000004</v>
      </c>
      <c r="E36" s="3">
        <v>6.511000000000001</v>
      </c>
      <c r="F36" s="3">
        <v>56.809600000000003</v>
      </c>
      <c r="G36" s="3">
        <v>1.9750000000000001</v>
      </c>
      <c r="H36" s="3">
        <v>7.9435999999999991</v>
      </c>
      <c r="I36" s="3">
        <v>2.7140000000000004</v>
      </c>
      <c r="J36" s="3">
        <v>46.346000000000004</v>
      </c>
      <c r="K36" s="3">
        <v>124.348</v>
      </c>
      <c r="L36" s="3">
        <v>1.8146</v>
      </c>
      <c r="M36" s="3">
        <v>0.13200000000000001</v>
      </c>
      <c r="N36" s="3">
        <v>246.54</v>
      </c>
      <c r="O36" s="3">
        <v>237.13200000000001</v>
      </c>
      <c r="P36" s="3">
        <v>5.1826271999999998</v>
      </c>
      <c r="Q36" s="5"/>
      <c r="S36" s="5"/>
      <c r="T36" s="5"/>
    </row>
    <row r="37" spans="2:20" x14ac:dyDescent="0.2">
      <c r="B37" s="1">
        <v>35</v>
      </c>
      <c r="C37" t="s">
        <v>54</v>
      </c>
      <c r="D37" s="3">
        <v>342.98</v>
      </c>
      <c r="E37" s="3">
        <v>12.023</v>
      </c>
      <c r="F37" s="3">
        <v>46.150000000000006</v>
      </c>
      <c r="G37" s="3">
        <v>1.5669999999999999</v>
      </c>
      <c r="H37" s="3">
        <v>10.608000000000001</v>
      </c>
      <c r="I37" s="3">
        <v>2.1</v>
      </c>
      <c r="J37" s="3">
        <v>59.18</v>
      </c>
      <c r="K37" s="3">
        <v>94.53</v>
      </c>
      <c r="L37" s="3">
        <v>1.0606</v>
      </c>
      <c r="M37" s="3">
        <v>0.22820000000000001</v>
      </c>
      <c r="N37" s="3">
        <v>269.82</v>
      </c>
      <c r="O37" s="3">
        <v>243.785</v>
      </c>
      <c r="P37" s="3">
        <v>4.9678719999999998</v>
      </c>
      <c r="Q37" s="5"/>
      <c r="S37" s="5"/>
      <c r="T37" s="5"/>
    </row>
    <row r="38" spans="2:20" x14ac:dyDescent="0.2">
      <c r="B38" s="1">
        <v>36</v>
      </c>
      <c r="C38" t="s">
        <v>55</v>
      </c>
      <c r="D38" s="3">
        <v>303.30200000000002</v>
      </c>
      <c r="E38" s="3">
        <v>8.6419999999999995</v>
      </c>
      <c r="F38" s="3">
        <v>43.024699999999996</v>
      </c>
      <c r="G38" s="3">
        <v>3.4289999999999998</v>
      </c>
      <c r="H38" s="3">
        <v>10.9251</v>
      </c>
      <c r="I38" s="3">
        <v>3.1349999999999998</v>
      </c>
      <c r="J38" s="3">
        <v>145.82999999999998</v>
      </c>
      <c r="K38" s="3">
        <v>90.307999999999993</v>
      </c>
      <c r="L38" s="3">
        <v>1.7962</v>
      </c>
      <c r="M38" s="3">
        <v>0.30599999999999999</v>
      </c>
      <c r="N38" s="3">
        <v>371.71999999999991</v>
      </c>
      <c r="O38" s="3">
        <v>259.90024999999997</v>
      </c>
      <c r="P38" s="3">
        <v>7.0823072000000007</v>
      </c>
      <c r="Q38" s="5"/>
      <c r="S38" s="5"/>
      <c r="T38" s="5"/>
    </row>
    <row r="39" spans="2:20" x14ac:dyDescent="0.2">
      <c r="B39" s="1">
        <v>37</v>
      </c>
      <c r="C39" t="s">
        <v>56</v>
      </c>
      <c r="D39" s="3">
        <v>321.00199999999995</v>
      </c>
      <c r="E39" s="3">
        <v>7.8129999999999997</v>
      </c>
      <c r="F39" s="3">
        <v>49.124700000000004</v>
      </c>
      <c r="G39" s="3">
        <v>4.4389999999999992</v>
      </c>
      <c r="H39" s="3">
        <v>10.920100000000001</v>
      </c>
      <c r="I39" s="3">
        <v>3.3450000000000002</v>
      </c>
      <c r="J39" s="3">
        <v>117.47</v>
      </c>
      <c r="K39" s="3">
        <v>67.858000000000004</v>
      </c>
      <c r="L39" s="3">
        <v>1.7612000000000003</v>
      </c>
      <c r="M39" s="3">
        <v>0</v>
      </c>
      <c r="N39" s="3">
        <v>272.71999999999997</v>
      </c>
      <c r="O39" s="3">
        <v>236.92725000000002</v>
      </c>
      <c r="P39" s="3">
        <v>5.8799872000000004</v>
      </c>
      <c r="Q39" s="5"/>
      <c r="S39" s="5"/>
      <c r="T39" s="5"/>
    </row>
    <row r="40" spans="2:20" x14ac:dyDescent="0.2">
      <c r="B40" s="1">
        <v>38</v>
      </c>
      <c r="C40" t="s">
        <v>57</v>
      </c>
      <c r="D40" s="3">
        <v>354.18</v>
      </c>
      <c r="E40" s="3">
        <v>11.407</v>
      </c>
      <c r="F40" s="3">
        <v>54.690000000000005</v>
      </c>
      <c r="G40" s="3">
        <v>0.19500000000000001</v>
      </c>
      <c r="H40" s="3">
        <v>7.4860000000000007</v>
      </c>
      <c r="I40" s="3">
        <v>0.73499999999999999</v>
      </c>
      <c r="J40" s="3">
        <v>54.335999999999999</v>
      </c>
      <c r="K40" s="3">
        <v>103.28</v>
      </c>
      <c r="L40" s="3">
        <v>1.1095999999999999</v>
      </c>
      <c r="M40" s="3">
        <v>0.22820000000000001</v>
      </c>
      <c r="N40" s="3">
        <v>338.42</v>
      </c>
      <c r="O40" s="3">
        <v>249.98</v>
      </c>
      <c r="P40" s="3">
        <v>3.8189760000000001</v>
      </c>
      <c r="Q40" s="5"/>
      <c r="S40" s="5"/>
      <c r="T40" s="5"/>
    </row>
    <row r="41" spans="2:20" x14ac:dyDescent="0.2">
      <c r="B41" s="1">
        <v>39</v>
      </c>
      <c r="C41" t="s">
        <v>58</v>
      </c>
      <c r="D41" s="3">
        <v>332.35499999999996</v>
      </c>
      <c r="E41" s="3">
        <v>8.1439000000000004</v>
      </c>
      <c r="F41" s="3">
        <v>51.033500000000004</v>
      </c>
      <c r="G41" s="3">
        <v>4.2901999999999996</v>
      </c>
      <c r="H41" s="3">
        <v>10.9915</v>
      </c>
      <c r="I41" s="3">
        <v>3.242</v>
      </c>
      <c r="J41" s="3">
        <v>126.46159999999999</v>
      </c>
      <c r="K41" s="3">
        <v>92.506</v>
      </c>
      <c r="L41" s="3">
        <v>1.7240199999999999</v>
      </c>
      <c r="M41" s="3">
        <v>0.2051</v>
      </c>
      <c r="N41" s="3">
        <v>290.66999999999996</v>
      </c>
      <c r="O41" s="3">
        <v>263.59449999999998</v>
      </c>
      <c r="P41" s="3">
        <v>5.7470480000000004</v>
      </c>
      <c r="Q41" s="5"/>
      <c r="S41" s="5"/>
      <c r="T41" s="5"/>
    </row>
    <row r="42" spans="2:20" x14ac:dyDescent="0.2">
      <c r="B42" s="1">
        <v>40</v>
      </c>
      <c r="C42" t="s">
        <v>59</v>
      </c>
      <c r="D42" s="3">
        <v>298.82</v>
      </c>
      <c r="E42" s="3">
        <v>5.0430000000000001</v>
      </c>
      <c r="F42" s="3">
        <v>55.616</v>
      </c>
      <c r="G42" s="3">
        <v>0.54520000000000002</v>
      </c>
      <c r="H42" s="3">
        <v>6.8089999999999993</v>
      </c>
      <c r="I42" s="3">
        <v>1.415</v>
      </c>
      <c r="J42" s="3">
        <v>23.436</v>
      </c>
      <c r="K42" s="3">
        <v>57.212000000000003</v>
      </c>
      <c r="L42" s="3">
        <v>1.5830399999999998</v>
      </c>
      <c r="M42" s="3">
        <v>8.5999999999999993E-2</v>
      </c>
      <c r="N42" s="3">
        <v>307.24</v>
      </c>
      <c r="O42" s="3">
        <v>179.02600000000001</v>
      </c>
      <c r="P42" s="3">
        <v>3.9211680000000002</v>
      </c>
      <c r="Q42" s="5"/>
      <c r="S42" s="5"/>
      <c r="T42" s="5"/>
    </row>
    <row r="43" spans="2:20" x14ac:dyDescent="0.2">
      <c r="B43" s="1">
        <v>41</v>
      </c>
      <c r="C43" t="s">
        <v>60</v>
      </c>
      <c r="D43" s="3">
        <v>337.05500000000001</v>
      </c>
      <c r="E43" s="3">
        <v>9.0614999999999988</v>
      </c>
      <c r="F43" s="3">
        <v>46.948500000000003</v>
      </c>
      <c r="G43" s="3">
        <v>2.2909999999999999</v>
      </c>
      <c r="H43" s="3">
        <v>14.924999999999999</v>
      </c>
      <c r="I43" s="3">
        <v>2.1</v>
      </c>
      <c r="J43" s="3">
        <v>159.26</v>
      </c>
      <c r="K43" s="3">
        <v>218.7</v>
      </c>
      <c r="L43" s="3">
        <v>1.125</v>
      </c>
      <c r="M43" s="3">
        <v>0.49270000000000003</v>
      </c>
      <c r="N43" s="3">
        <v>358.21999999999997</v>
      </c>
      <c r="O43" s="3">
        <v>458.5775000000001</v>
      </c>
      <c r="P43" s="3">
        <v>8.3524000000000012</v>
      </c>
      <c r="Q43" s="5"/>
      <c r="S43" s="5"/>
      <c r="T43" s="5"/>
    </row>
    <row r="44" spans="2:20" x14ac:dyDescent="0.2">
      <c r="B44" s="1">
        <v>42</v>
      </c>
      <c r="C44" t="s">
        <v>61</v>
      </c>
      <c r="D44" s="3">
        <v>184.70000000000002</v>
      </c>
      <c r="E44" s="3">
        <v>8.1420000000000012</v>
      </c>
      <c r="F44" s="3">
        <v>23.777999999999999</v>
      </c>
      <c r="G44" s="3">
        <v>0.42320000000000002</v>
      </c>
      <c r="H44" s="3">
        <v>3.77</v>
      </c>
      <c r="I44" s="3">
        <v>0.375</v>
      </c>
      <c r="J44" s="3">
        <v>33.834000000000003</v>
      </c>
      <c r="K44" s="3">
        <v>61.118000000000002</v>
      </c>
      <c r="L44" s="3">
        <v>0.50253999999999999</v>
      </c>
      <c r="M44" s="3">
        <v>0.13880000000000001</v>
      </c>
      <c r="N44" s="3">
        <v>173.45</v>
      </c>
      <c r="O44" s="3">
        <v>166.53399999999999</v>
      </c>
      <c r="P44" s="3">
        <v>2.1286879999999999</v>
      </c>
      <c r="Q44" s="5"/>
      <c r="S44" s="5"/>
      <c r="T44" s="5"/>
    </row>
    <row r="45" spans="2:20" x14ac:dyDescent="0.2">
      <c r="B45" s="1">
        <v>43</v>
      </c>
      <c r="C45" t="s">
        <v>62</v>
      </c>
      <c r="D45" s="3">
        <v>368.00999999999993</v>
      </c>
      <c r="E45" s="3">
        <v>6.984</v>
      </c>
      <c r="F45" s="3">
        <v>60.763999999999996</v>
      </c>
      <c r="G45" s="3">
        <v>4.2930000000000001</v>
      </c>
      <c r="H45" s="3">
        <v>11.059999999999999</v>
      </c>
      <c r="I45" s="3">
        <v>6.2309999999999999</v>
      </c>
      <c r="J45" s="3">
        <v>129.51999999999998</v>
      </c>
      <c r="K45" s="3">
        <v>94.667999999999992</v>
      </c>
      <c r="L45" s="3">
        <v>3.0820000000000003</v>
      </c>
      <c r="M45" s="3">
        <v>0.22419999999999998</v>
      </c>
      <c r="N45" s="3">
        <v>254.6</v>
      </c>
      <c r="O45" s="3">
        <v>312.67724999999996</v>
      </c>
      <c r="P45" s="3">
        <v>5.9539680000000006</v>
      </c>
      <c r="Q45" s="5"/>
      <c r="S45" s="5"/>
      <c r="T45" s="5"/>
    </row>
    <row r="46" spans="2:20" x14ac:dyDescent="0.2">
      <c r="B46" s="1">
        <v>44</v>
      </c>
      <c r="C46" t="s">
        <v>63</v>
      </c>
      <c r="D46" s="3">
        <v>335.19799999999998</v>
      </c>
      <c r="E46" s="3">
        <v>7.5679999999999996</v>
      </c>
      <c r="F46" s="3">
        <v>57.780299999999997</v>
      </c>
      <c r="G46" s="3">
        <v>2.4619000000000004</v>
      </c>
      <c r="H46" s="3">
        <v>7.615899999999999</v>
      </c>
      <c r="I46" s="3">
        <v>2.7410000000000005</v>
      </c>
      <c r="J46" s="3">
        <v>67.686000000000007</v>
      </c>
      <c r="K46" s="3">
        <v>77.64</v>
      </c>
      <c r="L46" s="3">
        <v>1.6060800000000002</v>
      </c>
      <c r="M46" s="3">
        <v>0.11069999999999999</v>
      </c>
      <c r="N46" s="3">
        <v>262.19</v>
      </c>
      <c r="O46" s="3">
        <v>262.31600000000003</v>
      </c>
      <c r="P46" s="3">
        <v>3.5692127999999999</v>
      </c>
      <c r="Q46" s="5"/>
      <c r="S46" s="5"/>
      <c r="T46" s="5"/>
    </row>
    <row r="47" spans="2:20" x14ac:dyDescent="0.2">
      <c r="B47" s="1">
        <v>45</v>
      </c>
      <c r="C47" t="s">
        <v>64</v>
      </c>
      <c r="D47" s="3">
        <v>337.15999999999997</v>
      </c>
      <c r="E47" s="3">
        <v>9.0969999999999995</v>
      </c>
      <c r="F47" s="3">
        <v>48.949499999999993</v>
      </c>
      <c r="G47" s="3">
        <v>4.2230000000000008</v>
      </c>
      <c r="H47" s="3">
        <v>12.279</v>
      </c>
      <c r="I47" s="3">
        <v>3.355</v>
      </c>
      <c r="J47" s="3">
        <v>70.656000000000006</v>
      </c>
      <c r="K47" s="3">
        <v>136.82000000000002</v>
      </c>
      <c r="L47" s="3">
        <v>1.252</v>
      </c>
      <c r="M47" s="3">
        <v>0.42119999999999996</v>
      </c>
      <c r="N47" s="3">
        <v>298.29999999999995</v>
      </c>
      <c r="O47" s="3">
        <v>341.9271833336</v>
      </c>
      <c r="P47" s="3">
        <v>6.8427840000000009</v>
      </c>
      <c r="Q47" s="5"/>
      <c r="S47" s="5"/>
      <c r="T47" s="5"/>
    </row>
    <row r="48" spans="2:20" x14ac:dyDescent="0.2">
      <c r="B48" s="1">
        <v>46</v>
      </c>
      <c r="C48" t="s">
        <v>65</v>
      </c>
      <c r="D48" s="3">
        <v>191.18</v>
      </c>
      <c r="E48" s="3">
        <v>5.51</v>
      </c>
      <c r="F48" s="3">
        <v>26.804999999999996</v>
      </c>
      <c r="G48" s="3">
        <v>2.4330000000000003</v>
      </c>
      <c r="H48" s="3">
        <v>6.8449999999999989</v>
      </c>
      <c r="I48" s="3">
        <v>2.7199999999999998</v>
      </c>
      <c r="J48" s="3">
        <v>33.122</v>
      </c>
      <c r="K48" s="3">
        <v>61.555999999999997</v>
      </c>
      <c r="L48" s="3">
        <v>1.2455000000000001</v>
      </c>
      <c r="M48" s="3">
        <v>0.16619999999999999</v>
      </c>
      <c r="N48" s="3">
        <v>186.82999999999998</v>
      </c>
      <c r="O48" s="3">
        <v>181.92075</v>
      </c>
      <c r="P48" s="3">
        <v>4.7330079999999999</v>
      </c>
      <c r="Q48" s="5"/>
      <c r="S48" s="5"/>
      <c r="T48" s="5"/>
    </row>
    <row r="49" spans="2:20" x14ac:dyDescent="0.2">
      <c r="B49" s="1">
        <v>47</v>
      </c>
      <c r="C49" t="s">
        <v>66</v>
      </c>
      <c r="D49" s="3">
        <v>299.75799999999992</v>
      </c>
      <c r="E49" s="3">
        <v>4.9819999999999993</v>
      </c>
      <c r="F49" s="3">
        <v>49.380900000000004</v>
      </c>
      <c r="G49" s="3">
        <v>4.349899999999999</v>
      </c>
      <c r="H49" s="3">
        <v>11.046500000000002</v>
      </c>
      <c r="I49" s="3">
        <v>4.6510000000000007</v>
      </c>
      <c r="J49" s="3">
        <v>138.44999999999999</v>
      </c>
      <c r="K49" s="3">
        <v>71.834000000000003</v>
      </c>
      <c r="L49" s="3">
        <v>2.1251799999999998</v>
      </c>
      <c r="M49" s="3">
        <v>8.4299999999999986E-2</v>
      </c>
      <c r="N49" s="3">
        <v>268.33</v>
      </c>
      <c r="O49" s="3">
        <v>214.35174999999998</v>
      </c>
      <c r="P49" s="3">
        <v>5.7189759999999996</v>
      </c>
      <c r="Q49" s="5"/>
      <c r="S49" s="5"/>
      <c r="T49" s="5"/>
    </row>
    <row r="50" spans="2:20" x14ac:dyDescent="0.2">
      <c r="B50" s="1">
        <v>48</v>
      </c>
      <c r="C50" t="s">
        <v>67</v>
      </c>
      <c r="D50" s="3">
        <v>368.00999999999993</v>
      </c>
      <c r="E50" s="3">
        <v>6.984</v>
      </c>
      <c r="F50" s="3">
        <v>60.763999999999996</v>
      </c>
      <c r="G50" s="3">
        <v>4.2930000000000001</v>
      </c>
      <c r="H50" s="3">
        <v>11.059999999999999</v>
      </c>
      <c r="I50" s="3">
        <v>6.2309999999999999</v>
      </c>
      <c r="J50" s="3">
        <v>129.51999999999998</v>
      </c>
      <c r="K50" s="3">
        <v>94.667999999999978</v>
      </c>
      <c r="L50" s="3">
        <v>3.0820000000000003</v>
      </c>
      <c r="M50" s="3">
        <v>0.22419999999999998</v>
      </c>
      <c r="N50" s="3">
        <v>254.6</v>
      </c>
      <c r="O50" s="3">
        <v>312.67724999999996</v>
      </c>
      <c r="P50" s="3">
        <v>5.9539680000000006</v>
      </c>
      <c r="Q50" s="5"/>
      <c r="S50" s="5"/>
      <c r="T50" s="5"/>
    </row>
    <row r="51" spans="2:20" x14ac:dyDescent="0.2">
      <c r="B51" s="1">
        <v>49</v>
      </c>
      <c r="C51" t="s">
        <v>68</v>
      </c>
      <c r="D51" s="3">
        <v>321.24999999999994</v>
      </c>
      <c r="E51" s="3">
        <v>7.0639999999999992</v>
      </c>
      <c r="F51" s="3">
        <v>51.262</v>
      </c>
      <c r="G51" s="3">
        <v>3.093</v>
      </c>
      <c r="H51" s="3">
        <v>11.121500000000001</v>
      </c>
      <c r="I51" s="3">
        <v>2.31</v>
      </c>
      <c r="J51" s="3">
        <v>52.186</v>
      </c>
      <c r="K51" s="3">
        <v>102.41</v>
      </c>
      <c r="L51" s="3">
        <v>1.1402999999999999</v>
      </c>
      <c r="M51" s="3">
        <v>0.28749999999999998</v>
      </c>
      <c r="N51" s="3">
        <v>231.7</v>
      </c>
      <c r="O51" s="3">
        <v>231.95</v>
      </c>
      <c r="P51" s="3">
        <v>5.1634960000000003</v>
      </c>
      <c r="Q51" s="5"/>
      <c r="S51" s="5"/>
      <c r="T51" s="5"/>
    </row>
    <row r="52" spans="2:20" x14ac:dyDescent="0.2">
      <c r="B52" s="1">
        <v>50</v>
      </c>
      <c r="C52" t="s">
        <v>69</v>
      </c>
      <c r="D52" s="3">
        <v>386.14</v>
      </c>
      <c r="E52" s="3">
        <v>14.777000000000001</v>
      </c>
      <c r="F52" s="3">
        <v>45.807000000000002</v>
      </c>
      <c r="G52" s="3">
        <v>2.9159999999999999</v>
      </c>
      <c r="H52" s="3">
        <v>15.101000000000001</v>
      </c>
      <c r="I52" s="3">
        <v>3.536</v>
      </c>
      <c r="J52" s="3">
        <v>211.482</v>
      </c>
      <c r="K52" s="3">
        <v>304.63</v>
      </c>
      <c r="L52" s="3">
        <v>1.7384999999999999</v>
      </c>
      <c r="M52" s="3">
        <v>1.1399999999999999</v>
      </c>
      <c r="N52" s="3">
        <v>561.55000000000007</v>
      </c>
      <c r="O52" s="3">
        <v>674.87749999999994</v>
      </c>
      <c r="P52" s="3">
        <v>9.9617919999999991</v>
      </c>
      <c r="Q52" s="5"/>
      <c r="S52" s="5"/>
      <c r="T52" s="5"/>
    </row>
    <row r="53" spans="2:20" x14ac:dyDescent="0.2">
      <c r="B53" s="1">
        <v>51</v>
      </c>
      <c r="C53" t="s">
        <v>70</v>
      </c>
      <c r="D53" s="3">
        <v>359.47</v>
      </c>
      <c r="E53" s="3">
        <v>13.335999999999999</v>
      </c>
      <c r="F53" s="3">
        <v>43.429000000000002</v>
      </c>
      <c r="G53" s="3">
        <v>8.032</v>
      </c>
      <c r="H53" s="3">
        <v>15.157</v>
      </c>
      <c r="I53" s="3">
        <v>1.6850000000000001</v>
      </c>
      <c r="J53" s="3">
        <v>136.66</v>
      </c>
      <c r="K53" s="3">
        <v>278.68999999999994</v>
      </c>
      <c r="L53" s="3">
        <v>0.89060000000000006</v>
      </c>
      <c r="M53" s="3">
        <v>1.2267999999999999</v>
      </c>
      <c r="N53" s="3">
        <v>456.58</v>
      </c>
      <c r="O53" s="3">
        <v>460.755</v>
      </c>
      <c r="P53" s="3">
        <v>9.6158880000000018</v>
      </c>
      <c r="Q53" s="5"/>
      <c r="S53" s="5"/>
      <c r="T53" s="5"/>
    </row>
    <row r="54" spans="2:20" x14ac:dyDescent="0.2">
      <c r="B54" s="1">
        <v>52</v>
      </c>
      <c r="C54" t="s">
        <v>71</v>
      </c>
      <c r="D54" s="3">
        <v>294.31700000000001</v>
      </c>
      <c r="E54" s="3">
        <v>13.654</v>
      </c>
      <c r="F54" s="3">
        <v>27.159200000000002</v>
      </c>
      <c r="G54" s="3">
        <v>2.8389999999999995</v>
      </c>
      <c r="H54" s="3">
        <v>9.5985999999999994</v>
      </c>
      <c r="I54" s="3">
        <v>11.6585</v>
      </c>
      <c r="J54" s="3">
        <v>132.10999999999999</v>
      </c>
      <c r="K54" s="3">
        <v>207.16300000000001</v>
      </c>
      <c r="L54" s="3">
        <v>2.0446999999999997</v>
      </c>
      <c r="M54" s="3">
        <v>0.13200000000000001</v>
      </c>
      <c r="N54" s="3">
        <v>369.21999999999991</v>
      </c>
      <c r="O54" s="3">
        <v>799.09625000000017</v>
      </c>
      <c r="P54" s="3">
        <v>10.026659200000001</v>
      </c>
      <c r="Q54" s="5"/>
      <c r="S54" s="5"/>
      <c r="T54" s="5"/>
    </row>
    <row r="55" spans="2:20" x14ac:dyDescent="0.2">
      <c r="B55" s="1">
        <v>53</v>
      </c>
      <c r="C55" t="s">
        <v>72</v>
      </c>
      <c r="D55" s="3">
        <v>454.60199999999998</v>
      </c>
      <c r="E55" s="3">
        <v>18.835999999999999</v>
      </c>
      <c r="F55" s="3">
        <v>49.337199999999996</v>
      </c>
      <c r="G55" s="3">
        <v>6.1289999999999996</v>
      </c>
      <c r="H55" s="3">
        <v>19.412600000000001</v>
      </c>
      <c r="I55" s="3">
        <v>3.3449999999999998</v>
      </c>
      <c r="J55" s="3">
        <v>216.55599999999998</v>
      </c>
      <c r="K55" s="3">
        <v>236.91799999999998</v>
      </c>
      <c r="L55" s="3">
        <v>2.3395000000000001</v>
      </c>
      <c r="M55" s="3">
        <v>1.3375000000000001</v>
      </c>
      <c r="N55" s="3">
        <v>1120.2200000000003</v>
      </c>
      <c r="O55" s="3">
        <v>804.39524999999992</v>
      </c>
      <c r="P55" s="3">
        <v>15.987147200000001</v>
      </c>
      <c r="Q55" s="5"/>
      <c r="S55" s="5"/>
      <c r="T55" s="5"/>
    </row>
    <row r="56" spans="2:20" x14ac:dyDescent="0.2">
      <c r="B56" s="1">
        <v>54</v>
      </c>
      <c r="C56" t="s">
        <v>73</v>
      </c>
      <c r="D56" s="3">
        <v>343.35199999999992</v>
      </c>
      <c r="E56" s="3">
        <v>9.4930000000000003</v>
      </c>
      <c r="F56" s="3">
        <v>48.284700000000001</v>
      </c>
      <c r="G56" s="3">
        <v>3.5989999999999993</v>
      </c>
      <c r="H56" s="3">
        <v>13.4551</v>
      </c>
      <c r="I56" s="3">
        <v>3.3450000000000002</v>
      </c>
      <c r="J56" s="3">
        <v>140.67499999999998</v>
      </c>
      <c r="K56" s="3">
        <v>84.557999999999993</v>
      </c>
      <c r="L56" s="3">
        <v>1.9957</v>
      </c>
      <c r="M56" s="3">
        <v>0.45900000000000002</v>
      </c>
      <c r="N56" s="3">
        <v>653.67000000000007</v>
      </c>
      <c r="O56" s="3">
        <v>465.60225000000003</v>
      </c>
      <c r="P56" s="3">
        <v>9.7106271999999993</v>
      </c>
      <c r="Q56" s="5"/>
      <c r="S56" s="5"/>
      <c r="T56" s="5"/>
    </row>
    <row r="57" spans="2:20" x14ac:dyDescent="0.2">
      <c r="B57" s="1">
        <v>55</v>
      </c>
      <c r="C57" t="s">
        <v>74</v>
      </c>
      <c r="D57" s="3">
        <v>312.44</v>
      </c>
      <c r="E57" s="3">
        <v>6.7170000000000005</v>
      </c>
      <c r="F57" s="3">
        <v>47.572000000000003</v>
      </c>
      <c r="G57" s="3">
        <v>2.9879999999999995</v>
      </c>
      <c r="H57" s="3">
        <v>12.786</v>
      </c>
      <c r="I57" s="3">
        <v>3.1160000000000001</v>
      </c>
      <c r="J57" s="3">
        <v>104.6</v>
      </c>
      <c r="K57" s="3">
        <v>34.658000000000001</v>
      </c>
      <c r="L57" s="3">
        <v>1.768</v>
      </c>
      <c r="M57" s="3">
        <v>0.50800000000000001</v>
      </c>
      <c r="N57" s="3">
        <v>285.77999999999997</v>
      </c>
      <c r="O57" s="3">
        <v>228.37699999999998</v>
      </c>
      <c r="P57" s="3">
        <v>6.6605120000000007</v>
      </c>
      <c r="Q57" s="5"/>
      <c r="S57" s="5"/>
      <c r="T57" s="5"/>
    </row>
    <row r="58" spans="2:20" x14ac:dyDescent="0.2">
      <c r="B58" s="1">
        <v>56</v>
      </c>
      <c r="C58" t="s">
        <v>75</v>
      </c>
      <c r="D58" s="3">
        <v>333.84</v>
      </c>
      <c r="E58" s="3">
        <v>7.2105000000000006</v>
      </c>
      <c r="F58" s="3">
        <v>47.8245</v>
      </c>
      <c r="G58" s="3">
        <v>2.9879999999999995</v>
      </c>
      <c r="H58" s="3">
        <v>16.751000000000001</v>
      </c>
      <c r="I58" s="3">
        <v>3.1160000000000001</v>
      </c>
      <c r="J58" s="3">
        <v>163.73999999999998</v>
      </c>
      <c r="K58" s="3">
        <v>31.487999999999996</v>
      </c>
      <c r="L58" s="3">
        <v>1.7929999999999999</v>
      </c>
      <c r="M58" s="3">
        <v>0.61250000000000004</v>
      </c>
      <c r="N58" s="3">
        <v>451.78</v>
      </c>
      <c r="O58" s="3">
        <v>416.767</v>
      </c>
      <c r="P58" s="3">
        <v>11.513471999999998</v>
      </c>
      <c r="Q58" s="5"/>
      <c r="S58" s="5"/>
      <c r="T58" s="5"/>
    </row>
    <row r="59" spans="2:20" x14ac:dyDescent="0.2">
      <c r="B59" s="1">
        <v>57</v>
      </c>
      <c r="C59" t="s">
        <v>76</v>
      </c>
      <c r="D59" s="3">
        <v>362.85999999999996</v>
      </c>
      <c r="E59" s="3">
        <v>11.678000000000001</v>
      </c>
      <c r="F59" s="3">
        <v>47.973499999999994</v>
      </c>
      <c r="G59" s="3">
        <v>3.3414999999999995</v>
      </c>
      <c r="H59" s="3">
        <v>13.826000000000001</v>
      </c>
      <c r="I59" s="3">
        <v>3.1659999999999999</v>
      </c>
      <c r="J59" s="3">
        <v>405.35999999999996</v>
      </c>
      <c r="K59" s="3">
        <v>84.757999999999996</v>
      </c>
      <c r="L59" s="3">
        <v>1.8105</v>
      </c>
      <c r="M59" s="3">
        <v>0.24510000000000001</v>
      </c>
      <c r="N59" s="3">
        <v>347.79</v>
      </c>
      <c r="O59" s="3">
        <v>339.00824999999992</v>
      </c>
      <c r="P59" s="3">
        <v>8.3702719999999999</v>
      </c>
      <c r="Q59" s="5"/>
      <c r="S59" s="5"/>
      <c r="T59" s="5"/>
    </row>
    <row r="60" spans="2:20" x14ac:dyDescent="0.2">
      <c r="B60" s="1">
        <v>58</v>
      </c>
      <c r="C60" t="s">
        <v>77</v>
      </c>
      <c r="D60" s="3">
        <v>299.49</v>
      </c>
      <c r="E60" s="3">
        <v>6.1067499999999999</v>
      </c>
      <c r="F60" s="3">
        <v>47.587000000000003</v>
      </c>
      <c r="G60" s="3">
        <v>2.9879999999999995</v>
      </c>
      <c r="H60" s="3">
        <v>10.906000000000001</v>
      </c>
      <c r="I60" s="3">
        <v>3.1347499999999999</v>
      </c>
      <c r="J60" s="3">
        <v>411.98999999999995</v>
      </c>
      <c r="K60" s="3">
        <v>45.413000000000004</v>
      </c>
      <c r="L60" s="3">
        <v>1.9095000000000002</v>
      </c>
      <c r="M60" s="3">
        <v>1.5674999999999999</v>
      </c>
      <c r="N60" s="3">
        <v>248.95500000000001</v>
      </c>
      <c r="O60" s="3">
        <v>237.11699999999999</v>
      </c>
      <c r="P60" s="3">
        <v>6.0893120000000005</v>
      </c>
      <c r="Q60" s="5"/>
      <c r="S60" s="5"/>
      <c r="T60" s="5"/>
    </row>
    <row r="61" spans="2:20" x14ac:dyDescent="0.2">
      <c r="B61" s="1">
        <v>59</v>
      </c>
      <c r="C61" t="s">
        <v>78</v>
      </c>
      <c r="D61" s="3">
        <v>383.18</v>
      </c>
      <c r="E61" s="3">
        <v>19.68</v>
      </c>
      <c r="F61" s="3">
        <v>33.840000000000003</v>
      </c>
      <c r="G61" s="3">
        <v>2.2430000000000003</v>
      </c>
      <c r="H61" s="3">
        <v>17.588000000000001</v>
      </c>
      <c r="I61" s="3">
        <v>1.71</v>
      </c>
      <c r="J61" s="3">
        <v>1087.74</v>
      </c>
      <c r="K61" s="3">
        <v>216.98000000000002</v>
      </c>
      <c r="L61" s="3">
        <v>1.3606</v>
      </c>
      <c r="M61" s="3">
        <v>0.22820000000000001</v>
      </c>
      <c r="N61" s="3">
        <v>365.12</v>
      </c>
      <c r="O61" s="3">
        <v>803.02900000000011</v>
      </c>
      <c r="P61" s="3">
        <v>17.636672000000001</v>
      </c>
      <c r="Q61" s="5"/>
      <c r="S61" s="5"/>
      <c r="T61" s="5"/>
    </row>
    <row r="62" spans="2:20" x14ac:dyDescent="0.2">
      <c r="B62" s="1">
        <v>60</v>
      </c>
      <c r="C62" t="s">
        <v>79</v>
      </c>
      <c r="D62" s="3">
        <v>434.90999999999991</v>
      </c>
      <c r="E62" s="3">
        <v>11.844000000000001</v>
      </c>
      <c r="F62" s="3">
        <v>60.763999999999996</v>
      </c>
      <c r="G62" s="3">
        <v>4.2930000000000001</v>
      </c>
      <c r="H62" s="3">
        <v>16.820000000000004</v>
      </c>
      <c r="I62" s="3">
        <v>6.2309999999999999</v>
      </c>
      <c r="J62" s="3">
        <v>147.12999999999997</v>
      </c>
      <c r="K62" s="3">
        <v>96.467999999999989</v>
      </c>
      <c r="L62" s="3">
        <v>3.6610000000000005</v>
      </c>
      <c r="M62" s="3">
        <v>0.87820000000000009</v>
      </c>
      <c r="N62" s="3">
        <v>1027.1000000000001</v>
      </c>
      <c r="O62" s="3">
        <v>766.84724999999992</v>
      </c>
      <c r="P62" s="3">
        <v>14.156207999999999</v>
      </c>
      <c r="Q62" s="5"/>
      <c r="S62" s="5"/>
      <c r="T62" s="5"/>
    </row>
    <row r="63" spans="2:20" x14ac:dyDescent="0.2">
      <c r="B63" s="1">
        <v>61</v>
      </c>
      <c r="C63" t="s">
        <v>80</v>
      </c>
      <c r="D63" s="3">
        <v>344.38</v>
      </c>
      <c r="E63" s="3">
        <v>14.127999999999998</v>
      </c>
      <c r="F63" s="3">
        <v>36.421600000000005</v>
      </c>
      <c r="G63" s="3">
        <v>4.6520000000000001</v>
      </c>
      <c r="H63" s="3">
        <v>16.994599999999998</v>
      </c>
      <c r="I63" s="3">
        <v>3.1100000000000003</v>
      </c>
      <c r="J63" s="3">
        <v>1151.04</v>
      </c>
      <c r="K63" s="3">
        <v>188.92800000000003</v>
      </c>
      <c r="L63" s="3">
        <v>2.0246000000000004</v>
      </c>
      <c r="M63" s="3">
        <v>7.9199999999999993E-2</v>
      </c>
      <c r="N63" s="3">
        <v>339.65999999999997</v>
      </c>
      <c r="O63" s="3">
        <v>779.29100000000005</v>
      </c>
      <c r="P63" s="3">
        <v>17.881187200000006</v>
      </c>
      <c r="Q63" s="5"/>
      <c r="S63" s="5"/>
      <c r="T63" s="5"/>
    </row>
    <row r="64" spans="2:20" x14ac:dyDescent="0.2">
      <c r="B64" s="1">
        <v>62</v>
      </c>
      <c r="C64" t="s">
        <v>81</v>
      </c>
      <c r="D64" s="3">
        <v>356.58</v>
      </c>
      <c r="E64" s="3">
        <v>17.880000000000003</v>
      </c>
      <c r="F64" s="3">
        <v>33.804000000000002</v>
      </c>
      <c r="G64" s="3">
        <v>2.2098</v>
      </c>
      <c r="H64" s="3">
        <v>15.091999999999999</v>
      </c>
      <c r="I64" s="3">
        <v>1.71</v>
      </c>
      <c r="J64" s="3">
        <v>1036.7</v>
      </c>
      <c r="K64" s="3">
        <v>137.87600000000003</v>
      </c>
      <c r="L64" s="3">
        <v>1.3535600000000001</v>
      </c>
      <c r="M64" s="3">
        <v>1.0200000000000001E-2</v>
      </c>
      <c r="N64" s="3">
        <v>243.96</v>
      </c>
      <c r="O64" s="3">
        <v>756.45500000000004</v>
      </c>
      <c r="P64" s="3">
        <v>15.693568000000001</v>
      </c>
      <c r="Q64" s="5"/>
      <c r="S64" s="5"/>
      <c r="T64" s="5"/>
    </row>
    <row r="65" spans="2:20" x14ac:dyDescent="0.2">
      <c r="B65" s="1">
        <v>63</v>
      </c>
      <c r="C65" t="s">
        <v>82</v>
      </c>
      <c r="D65" s="3">
        <v>387.57</v>
      </c>
      <c r="E65" s="3">
        <v>11.6355</v>
      </c>
      <c r="F65" s="3">
        <v>56.531500000000001</v>
      </c>
      <c r="G65" s="3">
        <v>1.3794999999999999</v>
      </c>
      <c r="H65" s="3">
        <v>13.045999999999998</v>
      </c>
      <c r="I65" s="3">
        <v>1.95</v>
      </c>
      <c r="J65" s="3">
        <v>122.14599999999999</v>
      </c>
      <c r="K65" s="3">
        <v>102.83199999999999</v>
      </c>
      <c r="L65" s="3">
        <v>1.7849999999999999</v>
      </c>
      <c r="M65" s="3">
        <v>0.59850000000000003</v>
      </c>
      <c r="N65" s="3">
        <v>416.57</v>
      </c>
      <c r="O65" s="3">
        <v>482.59800000000001</v>
      </c>
      <c r="P65" s="3">
        <v>8.2520800000000012</v>
      </c>
      <c r="Q65" s="5"/>
      <c r="S65" s="5"/>
      <c r="T65" s="5"/>
    </row>
    <row r="66" spans="2:20" x14ac:dyDescent="0.2">
      <c r="B66" s="1">
        <v>64</v>
      </c>
      <c r="C66" t="s">
        <v>83</v>
      </c>
      <c r="D66" s="3">
        <v>369.24</v>
      </c>
      <c r="E66" s="3">
        <v>12.1495</v>
      </c>
      <c r="F66" s="3">
        <v>47.061</v>
      </c>
      <c r="G66" s="3">
        <v>2.3734999999999999</v>
      </c>
      <c r="H66" s="3">
        <v>15.847999999999997</v>
      </c>
      <c r="I66" s="3">
        <v>2.46</v>
      </c>
      <c r="J66" s="3">
        <v>89.305999999999997</v>
      </c>
      <c r="K66" s="3">
        <v>110.17399999999998</v>
      </c>
      <c r="L66" s="3">
        <v>1.4870000000000001</v>
      </c>
      <c r="M66" s="3">
        <v>0.80449999999999999</v>
      </c>
      <c r="N66" s="3">
        <v>388.82</v>
      </c>
      <c r="O66" s="3">
        <v>465.76885000010003</v>
      </c>
      <c r="P66" s="3">
        <v>9.7248959999999993</v>
      </c>
      <c r="Q66" s="5"/>
      <c r="S66" s="5"/>
      <c r="T66" s="5"/>
    </row>
    <row r="67" spans="2:20" x14ac:dyDescent="0.2">
      <c r="B67" s="1">
        <v>65</v>
      </c>
      <c r="C67" t="s">
        <v>84</v>
      </c>
      <c r="D67" s="3">
        <v>414.15000000000003</v>
      </c>
      <c r="E67" s="3">
        <v>13.705000000000002</v>
      </c>
      <c r="F67" s="3">
        <v>59.744999999999997</v>
      </c>
      <c r="G67" s="3">
        <v>2.1399999999999997</v>
      </c>
      <c r="H67" s="3">
        <v>14.834999999999999</v>
      </c>
      <c r="I67" s="3">
        <v>3.1150000000000002</v>
      </c>
      <c r="J67" s="3">
        <v>106.06</v>
      </c>
      <c r="K67" s="3">
        <v>66.160000000000011</v>
      </c>
      <c r="L67" s="3">
        <v>2.4114999999999998</v>
      </c>
      <c r="M67" s="3">
        <v>0.78600000000000003</v>
      </c>
      <c r="N67" s="3">
        <v>1021.35</v>
      </c>
      <c r="O67" s="3">
        <v>683.95749999999998</v>
      </c>
      <c r="P67" s="3">
        <v>12.80696</v>
      </c>
      <c r="Q67" s="5"/>
      <c r="S67" s="5"/>
      <c r="T67" s="5"/>
    </row>
    <row r="68" spans="2:20" x14ac:dyDescent="0.2">
      <c r="B68" s="1">
        <v>66</v>
      </c>
      <c r="C68" t="s">
        <v>85</v>
      </c>
      <c r="D68" s="3">
        <v>357.96</v>
      </c>
      <c r="E68" s="3">
        <v>7.9340000000000002</v>
      </c>
      <c r="F68" s="3">
        <v>54.902999999999999</v>
      </c>
      <c r="G68" s="3">
        <v>0.11200000000000002</v>
      </c>
      <c r="H68" s="3">
        <v>16.093</v>
      </c>
      <c r="I68" s="3">
        <v>0.73499999999999999</v>
      </c>
      <c r="J68" s="3">
        <v>334.846</v>
      </c>
      <c r="K68" s="3">
        <v>61.35</v>
      </c>
      <c r="L68" s="3">
        <v>1.7344999999999999</v>
      </c>
      <c r="M68" s="3">
        <v>0.73499999999999999</v>
      </c>
      <c r="N68" s="3">
        <v>475.39000000000004</v>
      </c>
      <c r="O68" s="3">
        <v>483.44749999999999</v>
      </c>
      <c r="P68" s="3">
        <v>11.656224</v>
      </c>
      <c r="Q68" s="5"/>
      <c r="S68" s="5"/>
      <c r="T68" s="5"/>
    </row>
    <row r="69" spans="2:20" x14ac:dyDescent="0.2">
      <c r="B69" s="1">
        <v>67</v>
      </c>
      <c r="C69" t="s">
        <v>86</v>
      </c>
      <c r="D69" s="3">
        <v>132.18</v>
      </c>
      <c r="E69" s="3">
        <v>10.121</v>
      </c>
      <c r="F69" s="3">
        <v>1.2949999999999999</v>
      </c>
      <c r="G69" s="3">
        <v>0.29500000000000004</v>
      </c>
      <c r="H69" s="3">
        <v>8.6630000000000003</v>
      </c>
      <c r="I69" s="3">
        <v>0.76</v>
      </c>
      <c r="J69" s="3">
        <v>121.04</v>
      </c>
      <c r="K69" s="3">
        <v>99.007999999999996</v>
      </c>
      <c r="L69" s="3">
        <v>2.1049999999999995</v>
      </c>
      <c r="M69" s="3">
        <v>0.80420000000000003</v>
      </c>
      <c r="N69" s="3">
        <v>224.3</v>
      </c>
      <c r="O69" s="3">
        <v>228.042</v>
      </c>
      <c r="P69" s="3">
        <v>7.741232000000001</v>
      </c>
      <c r="Q69" s="5"/>
      <c r="S69" s="5"/>
      <c r="T69" s="5"/>
    </row>
    <row r="70" spans="2:20" x14ac:dyDescent="0.2">
      <c r="B70" s="1">
        <v>68</v>
      </c>
      <c r="C70" t="s">
        <v>87</v>
      </c>
      <c r="D70" s="3">
        <v>100.12</v>
      </c>
      <c r="E70" s="3">
        <v>8.2309999999999999</v>
      </c>
      <c r="F70" s="3">
        <v>0.17100000000000001</v>
      </c>
      <c r="G70" s="3">
        <v>0.16820000000000002</v>
      </c>
      <c r="H70" s="3">
        <v>6.3779999999999992</v>
      </c>
      <c r="I70" s="3">
        <v>0</v>
      </c>
      <c r="J70" s="3">
        <v>63</v>
      </c>
      <c r="K70" s="3">
        <v>39.112000000000002</v>
      </c>
      <c r="L70" s="3">
        <v>0.94103999999999999</v>
      </c>
      <c r="M70" s="3">
        <v>0.73180000000000001</v>
      </c>
      <c r="N70" s="3">
        <v>193.92000000000002</v>
      </c>
      <c r="O70" s="3">
        <v>150.73599999999999</v>
      </c>
      <c r="P70" s="3">
        <v>5.0003520000000004</v>
      </c>
      <c r="Q70" s="5"/>
      <c r="S70" s="5"/>
      <c r="T70" s="5"/>
    </row>
    <row r="71" spans="2:20" x14ac:dyDescent="0.2">
      <c r="B71" s="1">
        <v>69</v>
      </c>
      <c r="C71" t="s">
        <v>88</v>
      </c>
      <c r="D71" s="3">
        <v>118.18</v>
      </c>
      <c r="E71" s="3">
        <v>9.8410000000000011</v>
      </c>
      <c r="F71" s="3">
        <v>0.13500000000000001</v>
      </c>
      <c r="G71" s="3">
        <v>0.13500000000000001</v>
      </c>
      <c r="H71" s="3">
        <v>7.302999999999999</v>
      </c>
      <c r="I71" s="3">
        <v>0</v>
      </c>
      <c r="J71" s="3">
        <v>81.040000000000006</v>
      </c>
      <c r="K71" s="3">
        <v>67.807999999999993</v>
      </c>
      <c r="L71" s="3">
        <v>0.94499999999999995</v>
      </c>
      <c r="M71" s="3">
        <v>0.80420000000000003</v>
      </c>
      <c r="N71" s="3">
        <v>210.70000000000002</v>
      </c>
      <c r="O71" s="3">
        <v>216.36199999999999</v>
      </c>
      <c r="P71" s="3">
        <v>5.7393120000000009</v>
      </c>
      <c r="Q71" s="5"/>
      <c r="S71" s="5"/>
      <c r="T71" s="5"/>
    </row>
    <row r="72" spans="2:20" x14ac:dyDescent="0.2">
      <c r="B72" s="1">
        <v>70</v>
      </c>
      <c r="C72" t="s">
        <v>89</v>
      </c>
      <c r="D72" s="3">
        <v>124.78</v>
      </c>
      <c r="E72" s="3">
        <v>9.9450000000000003</v>
      </c>
      <c r="F72" s="3">
        <v>0.85499999999999998</v>
      </c>
      <c r="G72" s="3">
        <v>0.85099999999999998</v>
      </c>
      <c r="H72" s="3">
        <v>7.794999999999999</v>
      </c>
      <c r="I72" s="3">
        <v>0.42</v>
      </c>
      <c r="J72" s="3">
        <v>84.64</v>
      </c>
      <c r="K72" s="3">
        <v>75.287999999999997</v>
      </c>
      <c r="L72" s="3">
        <v>1.0889999999999997</v>
      </c>
      <c r="M72" s="3">
        <v>0.80420000000000003</v>
      </c>
      <c r="N72" s="3">
        <v>238.70000000000002</v>
      </c>
      <c r="O72" s="3">
        <v>229.80199999999999</v>
      </c>
      <c r="P72" s="3">
        <v>6.4635360000000004</v>
      </c>
      <c r="Q72" s="5"/>
      <c r="S72" s="5"/>
      <c r="T72" s="5"/>
    </row>
    <row r="73" spans="2:20" x14ac:dyDescent="0.2">
      <c r="B73" s="1">
        <v>71</v>
      </c>
      <c r="C73" t="s">
        <v>90</v>
      </c>
      <c r="D73" s="3">
        <v>106</v>
      </c>
      <c r="E73" s="3">
        <v>8.9110000000000014</v>
      </c>
      <c r="F73" s="3">
        <v>0.13500000000000001</v>
      </c>
      <c r="G73" s="3">
        <v>0.13500000000000001</v>
      </c>
      <c r="H73" s="3">
        <v>6.3699999999999992</v>
      </c>
      <c r="I73" s="3">
        <v>0</v>
      </c>
      <c r="J73" s="3">
        <v>62.2</v>
      </c>
      <c r="K73" s="3">
        <v>38.408000000000001</v>
      </c>
      <c r="L73" s="3">
        <v>0.94199999999999995</v>
      </c>
      <c r="M73" s="3">
        <v>0.72499999999999998</v>
      </c>
      <c r="N73" s="3">
        <v>173.08</v>
      </c>
      <c r="O73" s="3">
        <v>185.762</v>
      </c>
      <c r="P73" s="3">
        <v>5.0078400000000007</v>
      </c>
      <c r="Q73" s="5"/>
      <c r="S73" s="5"/>
      <c r="T73" s="5"/>
    </row>
    <row r="74" spans="2:20" x14ac:dyDescent="0.2">
      <c r="B74" s="1">
        <v>72</v>
      </c>
      <c r="C74" t="s">
        <v>91</v>
      </c>
      <c r="D74" s="3">
        <v>215.8</v>
      </c>
      <c r="E74" s="3">
        <v>11.64</v>
      </c>
      <c r="F74" s="3">
        <v>16.335000000000001</v>
      </c>
      <c r="G74" s="3">
        <v>0.91500000000000004</v>
      </c>
      <c r="H74" s="3">
        <v>10.09</v>
      </c>
      <c r="I74" s="3">
        <v>1.8</v>
      </c>
      <c r="J74" s="3">
        <v>94.09</v>
      </c>
      <c r="K74" s="3">
        <v>101.71000000000001</v>
      </c>
      <c r="L74" s="3">
        <v>1.8574999999999999</v>
      </c>
      <c r="M74" s="3">
        <v>0.85699999999999998</v>
      </c>
      <c r="N74" s="3">
        <v>263.05</v>
      </c>
      <c r="O74" s="3">
        <v>306.65749999999997</v>
      </c>
      <c r="P74" s="3">
        <v>6.9600800000000014</v>
      </c>
      <c r="Q74" s="5"/>
      <c r="S74" s="5"/>
      <c r="T74" s="5"/>
    </row>
    <row r="75" spans="2:20" x14ac:dyDescent="0.2">
      <c r="B75" s="1">
        <v>73</v>
      </c>
      <c r="C75" t="s">
        <v>92</v>
      </c>
      <c r="D75" s="3">
        <v>133.30000000000001</v>
      </c>
      <c r="E75" s="3">
        <v>11.193</v>
      </c>
      <c r="F75" s="3">
        <v>0.40700000000000003</v>
      </c>
      <c r="G75" s="3">
        <v>0.40350000000000003</v>
      </c>
      <c r="H75" s="3">
        <v>7.79</v>
      </c>
      <c r="I75" s="3">
        <v>0</v>
      </c>
      <c r="J75" s="3">
        <v>75.650000000000006</v>
      </c>
      <c r="K75" s="3">
        <v>50.42</v>
      </c>
      <c r="L75" s="3">
        <v>1.1308</v>
      </c>
      <c r="M75" s="3">
        <v>0.88849999999999996</v>
      </c>
      <c r="N75" s="3">
        <v>261.64999999999998</v>
      </c>
      <c r="O75" s="3">
        <v>201.20749999999998</v>
      </c>
      <c r="P75" s="3">
        <v>6.1073600000000017</v>
      </c>
      <c r="Q75" s="5"/>
      <c r="S75" s="5"/>
      <c r="T75" s="5"/>
    </row>
    <row r="76" spans="2:20" x14ac:dyDescent="0.2">
      <c r="B76" s="1">
        <v>74</v>
      </c>
      <c r="C76" t="s">
        <v>93</v>
      </c>
      <c r="D76" s="3">
        <v>178</v>
      </c>
      <c r="E76" s="3">
        <v>12.8</v>
      </c>
      <c r="F76" s="3">
        <v>0</v>
      </c>
      <c r="G76" s="3">
        <v>0</v>
      </c>
      <c r="H76" s="3">
        <v>16.05</v>
      </c>
      <c r="I76" s="3">
        <v>0</v>
      </c>
      <c r="J76" s="3">
        <v>380</v>
      </c>
      <c r="K76" s="3">
        <v>385</v>
      </c>
      <c r="L76" s="3">
        <v>0.35</v>
      </c>
      <c r="M76" s="3">
        <v>0</v>
      </c>
      <c r="N76" s="3">
        <v>512</v>
      </c>
      <c r="O76" s="3">
        <v>606.95000000000005</v>
      </c>
      <c r="P76" s="3">
        <v>12.583200000000001</v>
      </c>
      <c r="Q76" s="5"/>
      <c r="S76" s="5"/>
      <c r="T76" s="5"/>
    </row>
    <row r="77" spans="2:20" x14ac:dyDescent="0.2">
      <c r="B77" s="1">
        <v>75</v>
      </c>
      <c r="C77" t="s">
        <v>94</v>
      </c>
      <c r="D77" s="3">
        <v>169</v>
      </c>
      <c r="E77" s="3">
        <v>13.7</v>
      </c>
      <c r="F77" s="3">
        <v>0.28000000000000003</v>
      </c>
      <c r="G77" s="3">
        <v>0.13500000000000001</v>
      </c>
      <c r="H77" s="3">
        <v>10.9</v>
      </c>
      <c r="I77" s="3">
        <v>0</v>
      </c>
      <c r="J77" s="3">
        <v>255</v>
      </c>
      <c r="K77" s="3">
        <v>313</v>
      </c>
      <c r="L77" s="3">
        <v>0.13500000000000001</v>
      </c>
      <c r="M77" s="3">
        <v>0.68</v>
      </c>
      <c r="N77" s="3">
        <v>432.5</v>
      </c>
      <c r="O77" s="3">
        <v>606.95000000000005</v>
      </c>
      <c r="P77" s="3">
        <v>8.5456000000000003</v>
      </c>
      <c r="Q77" s="5"/>
      <c r="S77" s="5"/>
      <c r="T77" s="5"/>
    </row>
    <row r="78" spans="2:20" x14ac:dyDescent="0.2">
      <c r="B78" s="1">
        <v>76</v>
      </c>
      <c r="C78" t="s">
        <v>95</v>
      </c>
      <c r="D78" s="3">
        <v>196.7</v>
      </c>
      <c r="E78" s="3">
        <v>16.309999999999999</v>
      </c>
      <c r="F78" s="3">
        <v>1.33</v>
      </c>
      <c r="G78" s="3">
        <v>1.33</v>
      </c>
      <c r="H78" s="3">
        <v>11.27</v>
      </c>
      <c r="I78" s="3">
        <v>0</v>
      </c>
      <c r="J78" s="3">
        <v>245</v>
      </c>
      <c r="K78" s="3">
        <v>389.9</v>
      </c>
      <c r="L78" s="3">
        <v>7.0000000000000007E-2</v>
      </c>
      <c r="M78" s="3">
        <v>0</v>
      </c>
      <c r="N78" s="3">
        <v>344.4</v>
      </c>
      <c r="O78" s="3">
        <v>392</v>
      </c>
      <c r="P78" s="3">
        <v>8.8356800000000018</v>
      </c>
      <c r="Q78" s="5"/>
      <c r="S78" s="5"/>
      <c r="T78" s="5"/>
    </row>
    <row r="79" spans="2:20" x14ac:dyDescent="0.2">
      <c r="B79" s="1">
        <v>77</v>
      </c>
      <c r="C79" t="s">
        <v>96</v>
      </c>
      <c r="D79" s="3">
        <v>188.5</v>
      </c>
      <c r="E79" s="3">
        <v>15.1</v>
      </c>
      <c r="F79" s="3">
        <v>0.5</v>
      </c>
      <c r="G79" s="3">
        <v>0.5</v>
      </c>
      <c r="H79" s="3">
        <v>12.7</v>
      </c>
      <c r="I79" s="3">
        <v>0</v>
      </c>
      <c r="J79" s="3">
        <v>850</v>
      </c>
      <c r="K79" s="3">
        <v>475</v>
      </c>
      <c r="L79" s="3">
        <v>0.15</v>
      </c>
      <c r="M79" s="3">
        <v>0</v>
      </c>
      <c r="N79" s="3">
        <v>432.5</v>
      </c>
      <c r="O79" s="3">
        <v>606.95000000000005</v>
      </c>
      <c r="P79" s="3">
        <v>9.9568000000000012</v>
      </c>
      <c r="Q79" s="5"/>
      <c r="S79" s="5"/>
      <c r="T79" s="5"/>
    </row>
    <row r="80" spans="2:20" x14ac:dyDescent="0.2">
      <c r="B80" s="1">
        <v>78</v>
      </c>
      <c r="C80" t="s">
        <v>97</v>
      </c>
      <c r="D80" s="3">
        <v>170</v>
      </c>
      <c r="E80" s="3">
        <v>13.3</v>
      </c>
      <c r="F80" s="3">
        <v>0</v>
      </c>
      <c r="G80" s="3">
        <v>0</v>
      </c>
      <c r="H80" s="3">
        <v>12.8</v>
      </c>
      <c r="I80" s="3">
        <v>0</v>
      </c>
      <c r="J80" s="3">
        <v>438</v>
      </c>
      <c r="K80" s="3">
        <v>378</v>
      </c>
      <c r="L80" s="3">
        <v>0.26</v>
      </c>
      <c r="M80" s="3">
        <v>0.73</v>
      </c>
      <c r="N80" s="3">
        <v>432.5</v>
      </c>
      <c r="O80" s="3">
        <v>606.95000000000005</v>
      </c>
      <c r="P80" s="3">
        <v>10.035200000000001</v>
      </c>
      <c r="Q80" s="5"/>
      <c r="S80" s="5"/>
      <c r="T80" s="5"/>
    </row>
    <row r="81" spans="2:20" x14ac:dyDescent="0.2">
      <c r="B81" s="1">
        <v>79</v>
      </c>
      <c r="C81" t="s">
        <v>98</v>
      </c>
      <c r="D81" s="3">
        <v>169</v>
      </c>
      <c r="E81" s="3">
        <v>14.494999999999999</v>
      </c>
      <c r="F81" s="3">
        <v>0.156</v>
      </c>
      <c r="G81" s="3">
        <v>0</v>
      </c>
      <c r="H81" s="3">
        <v>9.4250000000000007</v>
      </c>
      <c r="I81" s="3">
        <v>0</v>
      </c>
      <c r="J81" s="3">
        <v>128.05000000000001</v>
      </c>
      <c r="K81" s="3">
        <v>169</v>
      </c>
      <c r="L81" s="3">
        <v>7.1500000000000008E-2</v>
      </c>
      <c r="M81" s="3">
        <v>0.29249999999999998</v>
      </c>
      <c r="N81" s="3">
        <v>533</v>
      </c>
      <c r="O81" s="3">
        <v>611.65</v>
      </c>
      <c r="P81" s="3">
        <v>7.3892000000000007</v>
      </c>
      <c r="Q81" s="5"/>
      <c r="S81" s="5"/>
      <c r="T81" s="5"/>
    </row>
    <row r="82" spans="2:20" x14ac:dyDescent="0.2">
      <c r="B82" s="1">
        <v>80</v>
      </c>
      <c r="C82" t="s">
        <v>99</v>
      </c>
      <c r="D82" s="3">
        <v>218.06</v>
      </c>
      <c r="E82" s="3">
        <v>16.698</v>
      </c>
      <c r="F82" s="3">
        <v>3.5129999999999999</v>
      </c>
      <c r="G82" s="3">
        <v>3.4660000000000002</v>
      </c>
      <c r="H82" s="3">
        <v>12.602</v>
      </c>
      <c r="I82" s="3">
        <v>1.44</v>
      </c>
      <c r="J82" s="3">
        <v>172.06399999999999</v>
      </c>
      <c r="K82" s="3">
        <v>391.27600000000001</v>
      </c>
      <c r="L82" s="3">
        <v>0.45399999999999996</v>
      </c>
      <c r="M82" s="3">
        <v>1.5959999999999999</v>
      </c>
      <c r="N82" s="3">
        <v>641.08000000000004</v>
      </c>
      <c r="O82" s="3">
        <v>721.32540000040012</v>
      </c>
      <c r="P82" s="3">
        <v>10.603744000000001</v>
      </c>
      <c r="Q82" s="5"/>
      <c r="S82" s="5"/>
      <c r="T82" s="5"/>
    </row>
    <row r="83" spans="2:20" x14ac:dyDescent="0.2">
      <c r="B83" s="1">
        <v>81</v>
      </c>
      <c r="C83" t="s">
        <v>100</v>
      </c>
      <c r="D83" s="3">
        <v>447.45</v>
      </c>
      <c r="E83" s="3">
        <v>29.601000000000003</v>
      </c>
      <c r="F83" s="3">
        <v>25.128</v>
      </c>
      <c r="G83" s="3">
        <v>1.2266999999999999</v>
      </c>
      <c r="H83" s="3">
        <v>17.955000000000002</v>
      </c>
      <c r="I83" s="3">
        <v>2.7</v>
      </c>
      <c r="J83" s="3">
        <v>68.34</v>
      </c>
      <c r="K83" s="3">
        <v>30.441000000000003</v>
      </c>
      <c r="L83" s="3">
        <v>2.5755000000000003</v>
      </c>
      <c r="M83" s="3">
        <v>1.3680000000000001</v>
      </c>
      <c r="N83" s="3">
        <v>2336.1299999999997</v>
      </c>
      <c r="O83" s="3">
        <v>1150.0395000000001</v>
      </c>
      <c r="P83" s="3">
        <v>22.044960000000003</v>
      </c>
      <c r="Q83" s="5"/>
      <c r="S83" s="5"/>
      <c r="T83" s="5"/>
    </row>
    <row r="84" spans="2:20" x14ac:dyDescent="0.2">
      <c r="B84" s="1">
        <v>82</v>
      </c>
      <c r="C84" t="s">
        <v>101</v>
      </c>
      <c r="D84" s="3">
        <v>281.7</v>
      </c>
      <c r="E84" s="3">
        <v>24.336000000000006</v>
      </c>
      <c r="F84" s="3">
        <v>0.82799999999999996</v>
      </c>
      <c r="G84" s="3">
        <v>5.67E-2</v>
      </c>
      <c r="H84" s="3">
        <v>14.69</v>
      </c>
      <c r="I84" s="3">
        <v>0</v>
      </c>
      <c r="J84" s="3">
        <v>67.430000000000007</v>
      </c>
      <c r="K84" s="3">
        <v>8.9809999999999999</v>
      </c>
      <c r="L84" s="3">
        <v>1.2080000000000002</v>
      </c>
      <c r="M84" s="3">
        <v>1.3680000000000001</v>
      </c>
      <c r="N84" s="3">
        <v>2283.7799999999997</v>
      </c>
      <c r="O84" s="3">
        <v>994.74200000000008</v>
      </c>
      <c r="P84" s="3">
        <v>20.919520000000002</v>
      </c>
      <c r="Q84" s="5"/>
      <c r="S84" s="5"/>
      <c r="T84" s="5"/>
    </row>
    <row r="85" spans="2:20" x14ac:dyDescent="0.2">
      <c r="B85" s="1">
        <v>83</v>
      </c>
      <c r="C85" t="s">
        <v>102</v>
      </c>
      <c r="D85" s="3">
        <v>146.17200000000003</v>
      </c>
      <c r="E85" s="3">
        <v>6.1669999999999998</v>
      </c>
      <c r="F85" s="3">
        <v>1.6052</v>
      </c>
      <c r="G85" s="3">
        <v>0.91100000000000003</v>
      </c>
      <c r="H85" s="3">
        <v>20.935599999999997</v>
      </c>
      <c r="I85" s="3">
        <v>0.36399999999999999</v>
      </c>
      <c r="J85" s="3">
        <v>34.57</v>
      </c>
      <c r="K85" s="3">
        <v>11.815</v>
      </c>
      <c r="L85" s="3">
        <v>2.5221999999999998</v>
      </c>
      <c r="M85" s="3">
        <v>1.0439999999999998</v>
      </c>
      <c r="N85" s="3">
        <v>2334.7199999999998</v>
      </c>
      <c r="O85" s="3">
        <v>1424.0472500000001</v>
      </c>
      <c r="P85" s="3">
        <v>29.819283200000005</v>
      </c>
      <c r="Q85" s="5"/>
      <c r="S85" s="5"/>
      <c r="T85" s="5"/>
    </row>
    <row r="86" spans="2:20" x14ac:dyDescent="0.2">
      <c r="B86" s="1">
        <v>84</v>
      </c>
      <c r="C86" t="s">
        <v>103</v>
      </c>
      <c r="D86" s="3">
        <v>236.7</v>
      </c>
      <c r="E86" s="3">
        <v>18.576000000000001</v>
      </c>
      <c r="F86" s="3">
        <v>0</v>
      </c>
      <c r="G86" s="3">
        <v>0</v>
      </c>
      <c r="H86" s="3">
        <v>17.3</v>
      </c>
      <c r="I86" s="3">
        <v>0</v>
      </c>
      <c r="J86" s="3">
        <v>53.03</v>
      </c>
      <c r="K86" s="3">
        <v>5.4080000000000004</v>
      </c>
      <c r="L86" s="3">
        <v>1.7389999999999999</v>
      </c>
      <c r="M86" s="3">
        <v>1.9620000000000002</v>
      </c>
      <c r="N86" s="3">
        <v>2330.58</v>
      </c>
      <c r="O86" s="3">
        <v>1420.172</v>
      </c>
      <c r="P86" s="3">
        <v>24.63616</v>
      </c>
      <c r="Q86" s="5"/>
      <c r="S86" s="5"/>
      <c r="T86" s="5"/>
    </row>
    <row r="87" spans="2:20" x14ac:dyDescent="0.2">
      <c r="B87" s="1">
        <v>85</v>
      </c>
      <c r="C87" t="s">
        <v>104</v>
      </c>
      <c r="D87" s="3">
        <v>142.80000000000001</v>
      </c>
      <c r="E87" s="3">
        <v>5.3268000000000004</v>
      </c>
      <c r="F87" s="3">
        <v>4.3920000000000003</v>
      </c>
      <c r="G87" s="3">
        <v>0.10620000000000002</v>
      </c>
      <c r="H87" s="3">
        <v>19.157000000000004</v>
      </c>
      <c r="I87" s="3">
        <v>0.252</v>
      </c>
      <c r="J87" s="3">
        <v>85.863200000000006</v>
      </c>
      <c r="K87" s="3">
        <v>12.331999999999999</v>
      </c>
      <c r="L87" s="3">
        <v>1.8920000000000001</v>
      </c>
      <c r="M87" s="3">
        <v>0</v>
      </c>
      <c r="N87" s="3">
        <v>2333.6999999999998</v>
      </c>
      <c r="O87" s="3">
        <v>1431.2660000000001</v>
      </c>
      <c r="P87" s="3">
        <v>26.650096000000001</v>
      </c>
      <c r="Q87" s="5"/>
      <c r="S87" s="5"/>
      <c r="T87" s="5"/>
    </row>
    <row r="88" spans="2:20" x14ac:dyDescent="0.2">
      <c r="B88" s="1">
        <v>86</v>
      </c>
      <c r="C88" t="s">
        <v>105</v>
      </c>
      <c r="D88" s="3">
        <v>145.29</v>
      </c>
      <c r="E88" s="3">
        <v>4.5846</v>
      </c>
      <c r="F88" s="3">
        <v>5.4784000000000006</v>
      </c>
      <c r="G88" s="3">
        <v>0.38239999999999996</v>
      </c>
      <c r="H88" s="3">
        <v>20.781000000000006</v>
      </c>
      <c r="I88" s="3">
        <v>0.22400000000000003</v>
      </c>
      <c r="J88" s="3">
        <v>128.47999999999999</v>
      </c>
      <c r="K88" s="3">
        <v>27.72</v>
      </c>
      <c r="L88" s="3">
        <v>2.1736</v>
      </c>
      <c r="M88" s="3">
        <v>0.17399999999999999</v>
      </c>
      <c r="N88" s="3">
        <v>2366.7800000000002</v>
      </c>
      <c r="O88" s="3">
        <v>1429.3019999999999</v>
      </c>
      <c r="P88" s="3">
        <v>27.870672000000003</v>
      </c>
      <c r="Q88" s="5"/>
      <c r="S88" s="5"/>
      <c r="T88" s="5"/>
    </row>
    <row r="89" spans="2:20" x14ac:dyDescent="0.2">
      <c r="B89" s="1">
        <v>87</v>
      </c>
      <c r="C89" t="s">
        <v>106</v>
      </c>
      <c r="D89" s="3">
        <v>261.65999999999997</v>
      </c>
      <c r="E89" s="3">
        <v>18.7028</v>
      </c>
      <c r="F89" s="3">
        <v>4.7700000000000005</v>
      </c>
      <c r="G89" s="3">
        <v>0.48219999999999996</v>
      </c>
      <c r="H89" s="3">
        <v>18.111000000000001</v>
      </c>
      <c r="I89" s="3">
        <v>0.50600000000000001</v>
      </c>
      <c r="J89" s="3">
        <v>75.593199999999996</v>
      </c>
      <c r="K89" s="3">
        <v>11.151999999999999</v>
      </c>
      <c r="L89" s="3">
        <v>1.9829999999999999</v>
      </c>
      <c r="M89" s="3">
        <v>1.9620000000000002</v>
      </c>
      <c r="N89" s="3">
        <v>2359.6999999999998</v>
      </c>
      <c r="O89" s="3">
        <v>1436.606</v>
      </c>
      <c r="P89" s="3">
        <v>25.170863999999998</v>
      </c>
      <c r="Q89" s="5"/>
      <c r="S89" s="5"/>
      <c r="T89" s="5"/>
    </row>
    <row r="90" spans="2:20" x14ac:dyDescent="0.2">
      <c r="B90" s="1">
        <v>88</v>
      </c>
      <c r="C90" t="s">
        <v>107</v>
      </c>
      <c r="D90" s="3">
        <v>266.60999999999996</v>
      </c>
      <c r="E90" s="3">
        <v>21.175000000000004</v>
      </c>
      <c r="F90" s="3">
        <v>0.78299999999999992</v>
      </c>
      <c r="G90" s="3">
        <v>0.77689999999999992</v>
      </c>
      <c r="H90" s="3">
        <v>17.749000000000002</v>
      </c>
      <c r="I90" s="3">
        <v>0.50800000000000001</v>
      </c>
      <c r="J90" s="3">
        <v>98.58</v>
      </c>
      <c r="K90" s="3">
        <v>14.382</v>
      </c>
      <c r="L90" s="3">
        <v>2.0477799999999995</v>
      </c>
      <c r="M90" s="3">
        <v>1.9671000000000003</v>
      </c>
      <c r="N90" s="3">
        <v>2408.02</v>
      </c>
      <c r="O90" s="3">
        <v>1447.8290000000002</v>
      </c>
      <c r="P90" s="3">
        <v>25.282640000000001</v>
      </c>
      <c r="Q90" s="5"/>
      <c r="S90" s="5"/>
      <c r="T90" s="5"/>
    </row>
    <row r="91" spans="2:20" x14ac:dyDescent="0.2">
      <c r="B91" s="1">
        <v>89</v>
      </c>
      <c r="C91" t="s">
        <v>108</v>
      </c>
      <c r="D91" s="3">
        <v>347.68999999999994</v>
      </c>
      <c r="E91" s="3">
        <v>19.968000000000004</v>
      </c>
      <c r="F91" s="3">
        <v>19.55</v>
      </c>
      <c r="G91" s="3">
        <v>2.448</v>
      </c>
      <c r="H91" s="3">
        <v>20.329000000000004</v>
      </c>
      <c r="I91" s="3">
        <v>2.91</v>
      </c>
      <c r="J91" s="3">
        <v>116.164</v>
      </c>
      <c r="K91" s="3">
        <v>36.49</v>
      </c>
      <c r="L91" s="3">
        <v>3.1605000000000003</v>
      </c>
      <c r="M91" s="3">
        <v>1.9620000000000002</v>
      </c>
      <c r="N91" s="3">
        <v>2429.1499999999996</v>
      </c>
      <c r="O91" s="3">
        <v>1512.5767499999999</v>
      </c>
      <c r="P91" s="3">
        <v>26.395712</v>
      </c>
      <c r="Q91" s="5"/>
      <c r="S91" s="5"/>
      <c r="T91" s="5"/>
    </row>
    <row r="92" spans="2:20" x14ac:dyDescent="0.2">
      <c r="B92" s="1">
        <v>90</v>
      </c>
      <c r="C92" t="s">
        <v>109</v>
      </c>
      <c r="D92" s="3">
        <v>292.65999999999997</v>
      </c>
      <c r="E92" s="3">
        <v>20.066099999999999</v>
      </c>
      <c r="F92" s="3">
        <v>7.3264000000000005</v>
      </c>
      <c r="G92" s="3">
        <v>1.2439</v>
      </c>
      <c r="H92" s="3">
        <v>20.4345</v>
      </c>
      <c r="I92" s="3">
        <v>1.0035000000000001</v>
      </c>
      <c r="J92" s="3">
        <v>135.49999999999997</v>
      </c>
      <c r="K92" s="3">
        <v>56.649000000000008</v>
      </c>
      <c r="L92" s="3">
        <v>2.7936000000000001</v>
      </c>
      <c r="M92" s="3">
        <v>2.1605000000000003</v>
      </c>
      <c r="N92" s="3">
        <v>2416.9900000000002</v>
      </c>
      <c r="O92" s="3">
        <v>1474.5114999999998</v>
      </c>
      <c r="P92" s="3">
        <v>27.196767999999999</v>
      </c>
      <c r="Q92" s="5"/>
      <c r="S92" s="5"/>
      <c r="T92" s="5"/>
    </row>
    <row r="93" spans="2:20" x14ac:dyDescent="0.2">
      <c r="B93" s="1">
        <v>91</v>
      </c>
      <c r="C93" t="s">
        <v>110</v>
      </c>
      <c r="D93" s="3">
        <v>265.90800000000002</v>
      </c>
      <c r="E93" s="3">
        <v>19.763000000000002</v>
      </c>
      <c r="F93" s="3">
        <v>2.9547999999999996</v>
      </c>
      <c r="G93" s="3">
        <v>2.19</v>
      </c>
      <c r="H93" s="3">
        <v>18.3644</v>
      </c>
      <c r="I93" s="3">
        <v>1.766</v>
      </c>
      <c r="J93" s="3">
        <v>82.05</v>
      </c>
      <c r="K93" s="3">
        <v>14.770000000000001</v>
      </c>
      <c r="L93" s="3">
        <v>2.1102999999999996</v>
      </c>
      <c r="M93" s="3">
        <v>1.9620000000000002</v>
      </c>
      <c r="N93" s="3">
        <v>2352.3199999999997</v>
      </c>
      <c r="O93" s="3">
        <v>1472.56925</v>
      </c>
      <c r="P93" s="3">
        <v>25.205036800000002</v>
      </c>
      <c r="Q93" s="5"/>
      <c r="S93" s="5"/>
      <c r="T93" s="5"/>
    </row>
    <row r="94" spans="2:20" x14ac:dyDescent="0.2">
      <c r="B94" s="1">
        <v>92</v>
      </c>
      <c r="C94" t="s">
        <v>111</v>
      </c>
      <c r="D94" s="3">
        <v>307.34999999999997</v>
      </c>
      <c r="E94" s="3">
        <v>21.104600000000001</v>
      </c>
      <c r="F94" s="3">
        <v>8.7574000000000005</v>
      </c>
      <c r="G94" s="3">
        <v>1.4723999999999999</v>
      </c>
      <c r="H94" s="3">
        <v>20.374000000000002</v>
      </c>
      <c r="I94" s="3">
        <v>0.95500000000000007</v>
      </c>
      <c r="J94" s="3">
        <v>163.95999999999998</v>
      </c>
      <c r="K94" s="3">
        <v>36.175999999999995</v>
      </c>
      <c r="L94" s="3">
        <v>2.5600999999999998</v>
      </c>
      <c r="M94" s="3">
        <v>2.1360000000000001</v>
      </c>
      <c r="N94" s="3">
        <v>2443.4499999999998</v>
      </c>
      <c r="O94" s="3">
        <v>1488.9914999999999</v>
      </c>
      <c r="P94" s="3">
        <v>26.997536</v>
      </c>
      <c r="Q94" s="5"/>
      <c r="S94" s="5"/>
      <c r="T94" s="5"/>
    </row>
    <row r="95" spans="2:20" x14ac:dyDescent="0.2">
      <c r="B95" s="1">
        <v>93</v>
      </c>
      <c r="C95" t="s">
        <v>112</v>
      </c>
      <c r="D95" s="3">
        <v>139.65</v>
      </c>
      <c r="E95" s="3">
        <v>6.3949999999999996</v>
      </c>
      <c r="F95" s="3">
        <v>0.94499999999999995</v>
      </c>
      <c r="G95" s="3">
        <v>0.94</v>
      </c>
      <c r="H95" s="3">
        <v>19.100000000000001</v>
      </c>
      <c r="I95" s="3">
        <v>0.63500000000000001</v>
      </c>
      <c r="J95" s="3">
        <v>141.75</v>
      </c>
      <c r="K95" s="3">
        <v>21.360000000000003</v>
      </c>
      <c r="L95" s="3">
        <v>2.1875</v>
      </c>
      <c r="M95" s="3">
        <v>0</v>
      </c>
      <c r="N95" s="3">
        <v>2398.85</v>
      </c>
      <c r="O95" s="3">
        <v>1447.9375</v>
      </c>
      <c r="P95" s="3">
        <v>27.225280000000001</v>
      </c>
      <c r="Q95" s="5"/>
      <c r="S95" s="5"/>
      <c r="T95" s="5"/>
    </row>
    <row r="96" spans="2:20" x14ac:dyDescent="0.2">
      <c r="B96" s="1">
        <v>94</v>
      </c>
      <c r="C96" t="s">
        <v>113</v>
      </c>
      <c r="D96" s="3">
        <v>254.85</v>
      </c>
      <c r="E96" s="3">
        <v>19.715</v>
      </c>
      <c r="F96" s="3">
        <v>0.94499999999999995</v>
      </c>
      <c r="G96" s="3">
        <v>0.94</v>
      </c>
      <c r="H96" s="3">
        <v>17.84</v>
      </c>
      <c r="I96" s="3">
        <v>0.63500000000000001</v>
      </c>
      <c r="J96" s="3">
        <v>109.08</v>
      </c>
      <c r="K96" s="3">
        <v>15.96</v>
      </c>
      <c r="L96" s="3">
        <v>2.1244999999999998</v>
      </c>
      <c r="M96" s="3">
        <v>1.9620000000000002</v>
      </c>
      <c r="N96" s="3">
        <v>2398.85</v>
      </c>
      <c r="O96" s="3">
        <v>1447.9375</v>
      </c>
      <c r="P96" s="3">
        <v>25.431039999999999</v>
      </c>
      <c r="Q96" s="5"/>
      <c r="S96" s="5"/>
      <c r="T96" s="5"/>
    </row>
    <row r="97" spans="2:20" x14ac:dyDescent="0.2">
      <c r="B97" s="1">
        <v>95</v>
      </c>
      <c r="C97" t="s">
        <v>114</v>
      </c>
      <c r="D97" s="3">
        <v>323.89999999999998</v>
      </c>
      <c r="E97" s="3">
        <v>26.468599999999999</v>
      </c>
      <c r="F97" s="3">
        <v>0.57640000000000002</v>
      </c>
      <c r="G97" s="3">
        <v>0.56689999999999996</v>
      </c>
      <c r="H97" s="3">
        <v>20.747</v>
      </c>
      <c r="I97" s="3">
        <v>0</v>
      </c>
      <c r="J97" s="3">
        <v>104.92999999999998</v>
      </c>
      <c r="K97" s="3">
        <v>76.816000000000003</v>
      </c>
      <c r="L97" s="3">
        <v>1.9743999999999997</v>
      </c>
      <c r="M97" s="3">
        <v>2.3255000000000003</v>
      </c>
      <c r="N97" s="3">
        <v>2490.4499999999998</v>
      </c>
      <c r="O97" s="3">
        <v>1557.2315000000001</v>
      </c>
      <c r="P97" s="3">
        <v>27.342047999999998</v>
      </c>
      <c r="Q97" s="5"/>
      <c r="S97" s="5"/>
      <c r="T97" s="5"/>
    </row>
    <row r="98" spans="2:20" x14ac:dyDescent="0.2">
      <c r="B98" s="1">
        <v>96</v>
      </c>
      <c r="C98" t="s">
        <v>115</v>
      </c>
      <c r="D98" s="3">
        <v>256.96499999999997</v>
      </c>
      <c r="E98" s="3">
        <v>18.965400000000002</v>
      </c>
      <c r="F98" s="3">
        <v>3.5090999999999997</v>
      </c>
      <c r="G98" s="3">
        <v>0.2331</v>
      </c>
      <c r="H98" s="3">
        <v>18.1355</v>
      </c>
      <c r="I98" s="3">
        <v>0.14400000000000002</v>
      </c>
      <c r="J98" s="3">
        <v>74.75</v>
      </c>
      <c r="K98" s="3">
        <v>12.661999999999999</v>
      </c>
      <c r="L98" s="3">
        <v>1.8898999999999999</v>
      </c>
      <c r="M98" s="3">
        <v>2.0055000000000001</v>
      </c>
      <c r="N98" s="3">
        <v>2342.9699999999998</v>
      </c>
      <c r="O98" s="3">
        <v>1432.4974999999999</v>
      </c>
      <c r="P98" s="3">
        <v>25.102119999999999</v>
      </c>
      <c r="Q98" s="5"/>
      <c r="S98" s="5"/>
      <c r="T98" s="5"/>
    </row>
    <row r="99" spans="2:20" x14ac:dyDescent="0.2">
      <c r="B99" s="1">
        <v>97</v>
      </c>
      <c r="C99" t="s">
        <v>116</v>
      </c>
      <c r="D99" s="3">
        <v>263.85500000000002</v>
      </c>
      <c r="E99" s="3">
        <v>19.054400000000001</v>
      </c>
      <c r="F99" s="3">
        <v>4.3610999999999995</v>
      </c>
      <c r="G99" s="3">
        <v>1.0820999999999998</v>
      </c>
      <c r="H99" s="3">
        <v>18.506500000000003</v>
      </c>
      <c r="I99" s="3">
        <v>0.57500000000000007</v>
      </c>
      <c r="J99" s="3">
        <v>108.85000000000001</v>
      </c>
      <c r="K99" s="3">
        <v>20.242000000000001</v>
      </c>
      <c r="L99" s="3">
        <v>2.1408999999999998</v>
      </c>
      <c r="M99" s="3">
        <v>2.0055000000000001</v>
      </c>
      <c r="N99" s="3">
        <v>2383.0699999999997</v>
      </c>
      <c r="O99" s="3">
        <v>1441.95875</v>
      </c>
      <c r="P99" s="3">
        <v>25.648231999999997</v>
      </c>
      <c r="Q99" s="5"/>
      <c r="S99" s="5"/>
      <c r="T99" s="5"/>
    </row>
    <row r="100" spans="2:20" x14ac:dyDescent="0.2">
      <c r="B100" s="1">
        <v>98</v>
      </c>
      <c r="C100" t="s">
        <v>117</v>
      </c>
      <c r="D100" s="3">
        <v>244.56499999999997</v>
      </c>
      <c r="E100" s="3">
        <v>16.124400000000001</v>
      </c>
      <c r="F100" s="3">
        <v>4.5500999999999996</v>
      </c>
      <c r="G100" s="3">
        <v>1.2700999999999998</v>
      </c>
      <c r="H100" s="3">
        <v>19.996500000000001</v>
      </c>
      <c r="I100" s="3">
        <v>0.70199999999999996</v>
      </c>
      <c r="J100" s="3">
        <v>137.80999999999997</v>
      </c>
      <c r="K100" s="3">
        <v>54.452000000000005</v>
      </c>
      <c r="L100" s="3">
        <v>1.8608999999999998</v>
      </c>
      <c r="M100" s="3">
        <v>1.2837000000000001</v>
      </c>
      <c r="N100" s="3">
        <v>1532.3399999999997</v>
      </c>
      <c r="O100" s="3">
        <v>1077.42875</v>
      </c>
      <c r="P100" s="3">
        <v>22.087607999999999</v>
      </c>
      <c r="Q100" s="5"/>
      <c r="S100" s="5"/>
      <c r="T100" s="5"/>
    </row>
    <row r="101" spans="2:20" x14ac:dyDescent="0.2">
      <c r="B101" s="1">
        <v>99</v>
      </c>
      <c r="C101" t="s">
        <v>118</v>
      </c>
      <c r="D101" s="3">
        <v>256.96499999999997</v>
      </c>
      <c r="E101" s="3">
        <v>18.965400000000002</v>
      </c>
      <c r="F101" s="3">
        <v>3.5090999999999997</v>
      </c>
      <c r="G101" s="3">
        <v>0.2331</v>
      </c>
      <c r="H101" s="3">
        <v>18.1355</v>
      </c>
      <c r="I101" s="3">
        <v>0.14400000000000002</v>
      </c>
      <c r="J101" s="3">
        <v>74.75</v>
      </c>
      <c r="K101" s="3">
        <v>12.661999999999999</v>
      </c>
      <c r="L101" s="3">
        <v>1.8898999999999999</v>
      </c>
      <c r="M101" s="3">
        <v>2.0055000000000001</v>
      </c>
      <c r="N101" s="3">
        <v>2342.9699999999998</v>
      </c>
      <c r="O101" s="3">
        <v>1432.4974999999999</v>
      </c>
      <c r="P101" s="3">
        <v>25.102119999999999</v>
      </c>
      <c r="Q101" s="5"/>
      <c r="S101" s="5"/>
      <c r="T101" s="5"/>
    </row>
    <row r="102" spans="2:20" x14ac:dyDescent="0.2">
      <c r="B102" s="1">
        <v>100</v>
      </c>
      <c r="C102" t="s">
        <v>119</v>
      </c>
      <c r="D102" s="3">
        <v>151.66</v>
      </c>
      <c r="E102" s="3">
        <v>5.8092000000000006</v>
      </c>
      <c r="F102" s="3">
        <v>3.4589999999999996</v>
      </c>
      <c r="G102" s="3">
        <v>8.7400000000000005E-2</v>
      </c>
      <c r="H102" s="3">
        <v>21.212</v>
      </c>
      <c r="I102" s="3">
        <v>0.16800000000000001</v>
      </c>
      <c r="J102" s="3">
        <v>28.698799999999999</v>
      </c>
      <c r="K102" s="3">
        <v>8.5129999999999981</v>
      </c>
      <c r="L102" s="3">
        <v>2.5365199999999999</v>
      </c>
      <c r="M102" s="3">
        <v>1.0473999999999999</v>
      </c>
      <c r="N102" s="3">
        <v>2343.08</v>
      </c>
      <c r="O102" s="3">
        <v>1410.0549999999998</v>
      </c>
      <c r="P102" s="3">
        <v>29.777120000000007</v>
      </c>
      <c r="Q102" s="5"/>
      <c r="S102" s="5"/>
      <c r="T102" s="5"/>
    </row>
    <row r="103" spans="2:20" x14ac:dyDescent="0.2">
      <c r="B103" s="1">
        <v>101</v>
      </c>
      <c r="C103" t="s">
        <v>120</v>
      </c>
      <c r="D103" s="3">
        <v>140.4</v>
      </c>
      <c r="E103" s="3">
        <v>6.1020000000000003</v>
      </c>
      <c r="F103" s="3">
        <v>0.51300000000000001</v>
      </c>
      <c r="G103" s="3">
        <v>0</v>
      </c>
      <c r="H103" s="3">
        <v>20.81</v>
      </c>
      <c r="I103" s="3">
        <v>0</v>
      </c>
      <c r="J103" s="3">
        <v>28.189999999999998</v>
      </c>
      <c r="K103" s="3">
        <v>7.1449999999999996</v>
      </c>
      <c r="L103" s="3">
        <v>2.4769999999999999</v>
      </c>
      <c r="M103" s="3">
        <v>1.0439999999999998</v>
      </c>
      <c r="N103" s="3">
        <v>2330.58</v>
      </c>
      <c r="O103" s="3">
        <v>1420.172</v>
      </c>
      <c r="P103" s="3">
        <v>29.634400000000007</v>
      </c>
      <c r="Q103" s="5"/>
      <c r="S103" s="5"/>
      <c r="T103" s="5"/>
    </row>
    <row r="104" spans="2:20" x14ac:dyDescent="0.2">
      <c r="B104" s="1">
        <v>102</v>
      </c>
      <c r="C104" t="s">
        <v>121</v>
      </c>
      <c r="D104" s="3">
        <v>170.1</v>
      </c>
      <c r="E104" s="3">
        <v>10.8</v>
      </c>
      <c r="F104" s="3">
        <v>0</v>
      </c>
      <c r="G104" s="3">
        <v>0</v>
      </c>
      <c r="H104" s="3">
        <v>18.2</v>
      </c>
      <c r="I104" s="3">
        <v>0</v>
      </c>
      <c r="J104" s="3">
        <v>50.870000000000005</v>
      </c>
      <c r="K104" s="3">
        <v>10.808</v>
      </c>
      <c r="L104" s="3">
        <v>1.0189999999999999</v>
      </c>
      <c r="M104" s="3">
        <v>0.36</v>
      </c>
      <c r="N104" s="3">
        <v>527.88</v>
      </c>
      <c r="O104" s="3">
        <v>624.572</v>
      </c>
      <c r="P104" s="3">
        <v>15.736959999999998</v>
      </c>
      <c r="Q104" s="5"/>
      <c r="S104" s="5"/>
      <c r="T104" s="5"/>
    </row>
    <row r="105" spans="2:20" x14ac:dyDescent="0.2">
      <c r="B105" s="1">
        <v>103</v>
      </c>
      <c r="C105" t="s">
        <v>122</v>
      </c>
      <c r="D105" s="3">
        <v>219.03</v>
      </c>
      <c r="E105" s="3">
        <v>12.1686</v>
      </c>
      <c r="F105" s="3">
        <v>7.0343999999999989</v>
      </c>
      <c r="G105" s="3">
        <v>0.4824</v>
      </c>
      <c r="H105" s="3">
        <v>20.632999999999999</v>
      </c>
      <c r="I105" s="3">
        <v>0.28800000000000003</v>
      </c>
      <c r="J105" s="3">
        <v>101.75</v>
      </c>
      <c r="K105" s="3">
        <v>29.923999999999996</v>
      </c>
      <c r="L105" s="3">
        <v>1.4336</v>
      </c>
      <c r="M105" s="3">
        <v>0.53400000000000003</v>
      </c>
      <c r="N105" s="3">
        <v>571.86</v>
      </c>
      <c r="O105" s="3">
        <v>664.59500000000003</v>
      </c>
      <c r="P105" s="3">
        <v>17.266287999999999</v>
      </c>
      <c r="Q105" s="5"/>
      <c r="S105" s="5"/>
      <c r="T105" s="5"/>
    </row>
    <row r="106" spans="2:20" x14ac:dyDescent="0.2">
      <c r="B106" s="1">
        <v>104</v>
      </c>
      <c r="C106" t="s">
        <v>123</v>
      </c>
      <c r="D106" s="3">
        <v>179.1</v>
      </c>
      <c r="E106" s="3">
        <v>11.798999999999999</v>
      </c>
      <c r="F106" s="3">
        <v>0</v>
      </c>
      <c r="G106" s="3">
        <v>0</v>
      </c>
      <c r="H106" s="3">
        <v>18.204999999999998</v>
      </c>
      <c r="I106" s="3">
        <v>0</v>
      </c>
      <c r="J106" s="3">
        <v>50.92</v>
      </c>
      <c r="K106" s="3">
        <v>10.81</v>
      </c>
      <c r="L106" s="3">
        <v>1.0194999999999999</v>
      </c>
      <c r="M106" s="3">
        <v>0.36</v>
      </c>
      <c r="N106" s="3">
        <v>531.15</v>
      </c>
      <c r="O106" s="3">
        <v>638.98749999999995</v>
      </c>
      <c r="P106" s="3">
        <v>15.744319999999998</v>
      </c>
      <c r="Q106" s="5"/>
      <c r="S106" s="5"/>
      <c r="T106" s="5"/>
    </row>
    <row r="107" spans="2:20" x14ac:dyDescent="0.2">
      <c r="B107" s="1">
        <v>105</v>
      </c>
      <c r="C107" t="s">
        <v>124</v>
      </c>
      <c r="D107" s="3">
        <v>190.36499999999998</v>
      </c>
      <c r="E107" s="3">
        <v>11.189399999999999</v>
      </c>
      <c r="F107" s="3">
        <v>3.5090999999999997</v>
      </c>
      <c r="G107" s="3">
        <v>0.2331</v>
      </c>
      <c r="H107" s="3">
        <v>19.035499999999999</v>
      </c>
      <c r="I107" s="3">
        <v>0.14400000000000002</v>
      </c>
      <c r="J107" s="3">
        <v>72.59</v>
      </c>
      <c r="K107" s="3">
        <v>18.062000000000001</v>
      </c>
      <c r="L107" s="3">
        <v>1.1698999999999999</v>
      </c>
      <c r="M107" s="3">
        <v>0.40349999999999997</v>
      </c>
      <c r="N107" s="3">
        <v>540.27</v>
      </c>
      <c r="O107" s="3">
        <v>636.89750000000004</v>
      </c>
      <c r="P107" s="3">
        <v>16.202919999999999</v>
      </c>
      <c r="Q107" s="5"/>
      <c r="S107" s="5"/>
      <c r="T107" s="5"/>
    </row>
    <row r="108" spans="2:20" x14ac:dyDescent="0.2">
      <c r="B108" s="1">
        <v>106</v>
      </c>
      <c r="C108" t="s">
        <v>125</v>
      </c>
      <c r="D108" s="3">
        <v>170.1</v>
      </c>
      <c r="E108" s="3">
        <v>10.8</v>
      </c>
      <c r="F108" s="3">
        <v>0</v>
      </c>
      <c r="G108" s="3">
        <v>0</v>
      </c>
      <c r="H108" s="3">
        <v>18.2</v>
      </c>
      <c r="I108" s="3">
        <v>0</v>
      </c>
      <c r="J108" s="3">
        <v>50.870000000000005</v>
      </c>
      <c r="K108" s="3">
        <v>10.808</v>
      </c>
      <c r="L108" s="3">
        <v>1.0189999999999999</v>
      </c>
      <c r="M108" s="3">
        <v>0.36</v>
      </c>
      <c r="N108" s="3">
        <v>527.88</v>
      </c>
      <c r="O108" s="3">
        <v>624.572</v>
      </c>
      <c r="P108" s="3">
        <v>15.736959999999998</v>
      </c>
      <c r="Q108" s="5"/>
      <c r="S108" s="5"/>
      <c r="T108" s="5"/>
    </row>
    <row r="109" spans="2:20" x14ac:dyDescent="0.2">
      <c r="B109" s="1">
        <v>107</v>
      </c>
      <c r="C109" t="s">
        <v>126</v>
      </c>
      <c r="D109" s="3">
        <v>140.77199999999999</v>
      </c>
      <c r="E109" s="3">
        <v>5.7530000000000001</v>
      </c>
      <c r="F109" s="3">
        <v>1.8122</v>
      </c>
      <c r="G109" s="3">
        <v>1.0369999999999999</v>
      </c>
      <c r="H109" s="3">
        <v>20.305599999999995</v>
      </c>
      <c r="I109" s="3">
        <v>0.36399999999999999</v>
      </c>
      <c r="J109" s="3">
        <v>101.98</v>
      </c>
      <c r="K109" s="3">
        <v>14.127999999999998</v>
      </c>
      <c r="L109" s="3">
        <v>0.78520000000000001</v>
      </c>
      <c r="M109" s="3">
        <v>1.4580000000000002</v>
      </c>
      <c r="N109" s="3">
        <v>384.41999999999996</v>
      </c>
      <c r="O109" s="3">
        <v>450.78724999999997</v>
      </c>
      <c r="P109" s="3">
        <v>13.761843199999999</v>
      </c>
      <c r="Q109" s="5"/>
      <c r="S109" s="5"/>
      <c r="T109" s="5"/>
    </row>
    <row r="110" spans="2:20" x14ac:dyDescent="0.2">
      <c r="B110" s="1">
        <v>108</v>
      </c>
      <c r="C110" t="s">
        <v>127</v>
      </c>
      <c r="D110" s="3">
        <v>205.5</v>
      </c>
      <c r="E110" s="3">
        <v>9.5910000000000011</v>
      </c>
      <c r="F110" s="3">
        <v>0</v>
      </c>
      <c r="G110" s="3">
        <v>0</v>
      </c>
      <c r="H110" s="3">
        <v>30.02</v>
      </c>
      <c r="I110" s="3">
        <v>0</v>
      </c>
      <c r="J110" s="3">
        <v>121.7</v>
      </c>
      <c r="K110" s="3">
        <v>16.507999999999999</v>
      </c>
      <c r="L110" s="3">
        <v>1.157</v>
      </c>
      <c r="M110" s="3">
        <v>0.58499999999999996</v>
      </c>
      <c r="N110" s="3">
        <v>565.08000000000004</v>
      </c>
      <c r="O110" s="3">
        <v>1002.5120000000001</v>
      </c>
      <c r="P110" s="3">
        <v>20.189440000000005</v>
      </c>
      <c r="Q110" s="5"/>
      <c r="S110" s="5"/>
      <c r="T110" s="5"/>
    </row>
    <row r="111" spans="2:20" x14ac:dyDescent="0.2">
      <c r="B111" s="1">
        <v>109</v>
      </c>
      <c r="C111" t="s">
        <v>128</v>
      </c>
      <c r="D111" s="3">
        <v>149.19999999999999</v>
      </c>
      <c r="E111" s="3">
        <v>5.7352000000000007</v>
      </c>
      <c r="F111" s="3">
        <v>3.6479999999999997</v>
      </c>
      <c r="G111" s="3">
        <v>0.1968</v>
      </c>
      <c r="H111" s="3">
        <v>20.577999999999996</v>
      </c>
      <c r="I111" s="3">
        <v>0.16800000000000001</v>
      </c>
      <c r="J111" s="3">
        <v>95.708800000000011</v>
      </c>
      <c r="K111" s="3">
        <v>10.473999999999998</v>
      </c>
      <c r="L111" s="3">
        <v>0.8</v>
      </c>
      <c r="M111" s="3">
        <v>1.4580000000000002</v>
      </c>
      <c r="N111" s="3">
        <v>382.35999999999996</v>
      </c>
      <c r="O111" s="3">
        <v>454.30799999999999</v>
      </c>
      <c r="P111" s="3">
        <v>13.723423999999998</v>
      </c>
      <c r="Q111" s="5"/>
      <c r="S111" s="5"/>
      <c r="T111" s="5"/>
    </row>
    <row r="112" spans="2:20" x14ac:dyDescent="0.2">
      <c r="B112" s="1">
        <v>110</v>
      </c>
      <c r="C112" t="s">
        <v>129</v>
      </c>
      <c r="D112" s="3">
        <v>135</v>
      </c>
      <c r="E112" s="3">
        <v>5.6880000000000006</v>
      </c>
      <c r="F112" s="3">
        <v>0.72</v>
      </c>
      <c r="G112" s="3">
        <v>0.126</v>
      </c>
      <c r="H112" s="3">
        <v>20.179999999999996</v>
      </c>
      <c r="I112" s="3">
        <v>0</v>
      </c>
      <c r="J112" s="3">
        <v>95.600000000000009</v>
      </c>
      <c r="K112" s="3">
        <v>9.4579999999999984</v>
      </c>
      <c r="L112" s="3">
        <v>0.74</v>
      </c>
      <c r="M112" s="3">
        <v>1.4580000000000002</v>
      </c>
      <c r="N112" s="3">
        <v>380.28</v>
      </c>
      <c r="O112" s="3">
        <v>446.91199999999998</v>
      </c>
      <c r="P112" s="3">
        <v>13.576959999999998</v>
      </c>
      <c r="Q112" s="5"/>
      <c r="S112" s="5"/>
      <c r="T112" s="5"/>
    </row>
    <row r="113" spans="2:20" x14ac:dyDescent="0.2">
      <c r="B113" s="1">
        <v>111</v>
      </c>
      <c r="C113" t="s">
        <v>130</v>
      </c>
      <c r="D113" s="3">
        <v>184.702</v>
      </c>
      <c r="E113" s="3">
        <v>9.9548000000000005</v>
      </c>
      <c r="F113" s="3">
        <v>4.6602000000000006</v>
      </c>
      <c r="G113" s="3">
        <v>0.18390000000000004</v>
      </c>
      <c r="H113" s="3">
        <v>18.920400000000001</v>
      </c>
      <c r="I113" s="3">
        <v>0.56279999999999997</v>
      </c>
      <c r="J113" s="3">
        <v>76.665200000000013</v>
      </c>
      <c r="K113" s="3">
        <v>31.605999999999998</v>
      </c>
      <c r="L113" s="3">
        <v>1.18218</v>
      </c>
      <c r="M113" s="3">
        <v>0.35610000000000003</v>
      </c>
      <c r="N113" s="3">
        <v>378.04</v>
      </c>
      <c r="O113" s="3">
        <v>444.02899999999988</v>
      </c>
      <c r="P113" s="3">
        <v>12.777292800000001</v>
      </c>
      <c r="Q113" s="5"/>
      <c r="S113" s="5"/>
      <c r="T113" s="5"/>
    </row>
    <row r="114" spans="2:20" x14ac:dyDescent="0.2">
      <c r="B114" s="1">
        <v>112</v>
      </c>
      <c r="C114" t="s">
        <v>131</v>
      </c>
      <c r="D114" s="3">
        <v>136.65</v>
      </c>
      <c r="E114" s="3">
        <v>5.8369999999999997</v>
      </c>
      <c r="F114" s="3">
        <v>0.76500000000000001</v>
      </c>
      <c r="G114" s="3">
        <v>0.16749999999999998</v>
      </c>
      <c r="H114" s="3">
        <v>20.194999999999997</v>
      </c>
      <c r="I114" s="3">
        <v>0</v>
      </c>
      <c r="J114" s="3">
        <v>96.65</v>
      </c>
      <c r="K114" s="3">
        <v>10.34</v>
      </c>
      <c r="L114" s="3">
        <v>0.73929999999999996</v>
      </c>
      <c r="M114" s="3">
        <v>1.4665000000000001</v>
      </c>
      <c r="N114" s="3">
        <v>409.59999999999997</v>
      </c>
      <c r="O114" s="3">
        <v>417.54500000000002</v>
      </c>
      <c r="P114" s="3">
        <v>13.574959999999999</v>
      </c>
      <c r="Q114" s="5"/>
      <c r="S114" s="5"/>
      <c r="T114" s="5"/>
    </row>
    <row r="115" spans="2:20" x14ac:dyDescent="0.2">
      <c r="B115" s="1">
        <v>113</v>
      </c>
      <c r="C115" t="s">
        <v>132</v>
      </c>
      <c r="D115" s="3">
        <v>155.035</v>
      </c>
      <c r="E115" s="3">
        <v>6.8140000000000001</v>
      </c>
      <c r="F115" s="3">
        <v>2.4704999999999999</v>
      </c>
      <c r="G115" s="3">
        <v>1.698</v>
      </c>
      <c r="H115" s="3">
        <v>20.604499999999994</v>
      </c>
      <c r="I115" s="3">
        <v>0.77049999999999996</v>
      </c>
      <c r="J115" s="3">
        <v>114.2</v>
      </c>
      <c r="K115" s="3">
        <v>15.845000000000001</v>
      </c>
      <c r="L115" s="3">
        <v>0.92749999999999999</v>
      </c>
      <c r="M115" s="3">
        <v>1.4580000000000002</v>
      </c>
      <c r="N115" s="3">
        <v>415</v>
      </c>
      <c r="O115" s="3">
        <v>473.91999999999996</v>
      </c>
      <c r="P115" s="3">
        <v>14.201823999999997</v>
      </c>
      <c r="Q115" s="5"/>
      <c r="S115" s="5"/>
      <c r="T115" s="5"/>
    </row>
    <row r="116" spans="2:20" x14ac:dyDescent="0.2">
      <c r="B116" s="1">
        <v>114</v>
      </c>
      <c r="C116" t="s">
        <v>133</v>
      </c>
      <c r="D116" s="3">
        <v>156.5</v>
      </c>
      <c r="E116" s="3">
        <v>7.8</v>
      </c>
      <c r="F116" s="3">
        <v>0.4</v>
      </c>
      <c r="G116" s="3">
        <v>7.0000000000000007E-2</v>
      </c>
      <c r="H116" s="3">
        <v>21.224999999999998</v>
      </c>
      <c r="I116" s="3">
        <v>0</v>
      </c>
      <c r="J116" s="3">
        <v>93.75</v>
      </c>
      <c r="K116" s="3">
        <v>10.76</v>
      </c>
      <c r="L116" s="3">
        <v>0.79749999999999988</v>
      </c>
      <c r="M116" s="3">
        <v>1.0050000000000001</v>
      </c>
      <c r="N116" s="3">
        <v>404.35</v>
      </c>
      <c r="O116" s="3">
        <v>603.27750000000003</v>
      </c>
      <c r="P116" s="3">
        <v>14.283200000000001</v>
      </c>
      <c r="Q116" s="5"/>
      <c r="S116" s="5"/>
      <c r="T116" s="5"/>
    </row>
    <row r="117" spans="2:20" x14ac:dyDescent="0.2">
      <c r="B117" s="1">
        <v>115</v>
      </c>
      <c r="C117" t="s">
        <v>134</v>
      </c>
      <c r="D117" s="3">
        <v>139.35</v>
      </c>
      <c r="E117" s="3">
        <v>7.5019999999999989</v>
      </c>
      <c r="F117" s="3">
        <v>4.4999999999999998E-2</v>
      </c>
      <c r="G117" s="3">
        <v>4.1499999999999995E-2</v>
      </c>
      <c r="H117" s="3">
        <v>18.035</v>
      </c>
      <c r="I117" s="3">
        <v>0</v>
      </c>
      <c r="J117" s="3">
        <v>74.150000000000006</v>
      </c>
      <c r="K117" s="3">
        <v>10.790000000000001</v>
      </c>
      <c r="L117" s="3">
        <v>0.69429999999999992</v>
      </c>
      <c r="M117" s="3">
        <v>0.35950000000000004</v>
      </c>
      <c r="N117" s="3">
        <v>373.59999999999997</v>
      </c>
      <c r="O117" s="3">
        <v>384.69499999999999</v>
      </c>
      <c r="P117" s="3">
        <v>12.123440000000002</v>
      </c>
      <c r="Q117" s="5"/>
      <c r="S117" s="5"/>
      <c r="T117" s="5"/>
    </row>
    <row r="118" spans="2:20" x14ac:dyDescent="0.2">
      <c r="B118" s="1">
        <v>116</v>
      </c>
      <c r="C118" t="s">
        <v>135</v>
      </c>
      <c r="D118" s="3">
        <v>137.69999999999999</v>
      </c>
      <c r="E118" s="3">
        <v>7.3529999999999998</v>
      </c>
      <c r="F118" s="3">
        <v>0</v>
      </c>
      <c r="G118" s="3">
        <v>0</v>
      </c>
      <c r="H118" s="3">
        <v>18.02</v>
      </c>
      <c r="I118" s="3">
        <v>0</v>
      </c>
      <c r="J118" s="3">
        <v>73.100000000000009</v>
      </c>
      <c r="K118" s="3">
        <v>9.9079999999999995</v>
      </c>
      <c r="L118" s="3">
        <v>0.69499999999999995</v>
      </c>
      <c r="M118" s="3">
        <v>0.35100000000000003</v>
      </c>
      <c r="N118" s="3">
        <v>344.28</v>
      </c>
      <c r="O118" s="3">
        <v>414.06199999999995</v>
      </c>
      <c r="P118" s="3">
        <v>12.125440000000001</v>
      </c>
      <c r="Q118" s="5"/>
      <c r="S118" s="5"/>
      <c r="T118" s="5"/>
    </row>
    <row r="119" spans="2:20" x14ac:dyDescent="0.2">
      <c r="B119" s="1">
        <v>117</v>
      </c>
      <c r="C119" t="s">
        <v>136</v>
      </c>
      <c r="D119" s="3">
        <v>186.63</v>
      </c>
      <c r="E119" s="3">
        <v>8.7216000000000005</v>
      </c>
      <c r="F119" s="3">
        <v>7.0343999999999989</v>
      </c>
      <c r="G119" s="3">
        <v>0.4824</v>
      </c>
      <c r="H119" s="3">
        <v>20.452999999999999</v>
      </c>
      <c r="I119" s="3">
        <v>0.28800000000000003</v>
      </c>
      <c r="J119" s="3">
        <v>123.98</v>
      </c>
      <c r="K119" s="3">
        <v>29.023999999999997</v>
      </c>
      <c r="L119" s="3">
        <v>1.1095999999999999</v>
      </c>
      <c r="M119" s="3">
        <v>0.52500000000000002</v>
      </c>
      <c r="N119" s="3">
        <v>388.25999999999993</v>
      </c>
      <c r="O119" s="3">
        <v>454.08499999999992</v>
      </c>
      <c r="P119" s="3">
        <v>13.654768000000001</v>
      </c>
      <c r="Q119" s="5"/>
      <c r="S119" s="5"/>
      <c r="T119" s="5"/>
    </row>
    <row r="120" spans="2:20" x14ac:dyDescent="0.2">
      <c r="B120" s="1">
        <v>118</v>
      </c>
      <c r="C120" t="s">
        <v>137</v>
      </c>
      <c r="D120" s="3">
        <v>151.9</v>
      </c>
      <c r="E120" s="3">
        <v>7.4001999999999999</v>
      </c>
      <c r="F120" s="3">
        <v>2.9279999999999999</v>
      </c>
      <c r="G120" s="3">
        <v>7.0800000000000002E-2</v>
      </c>
      <c r="H120" s="3">
        <v>18.417999999999999</v>
      </c>
      <c r="I120" s="3">
        <v>0.16800000000000001</v>
      </c>
      <c r="J120" s="3">
        <v>73.208800000000011</v>
      </c>
      <c r="K120" s="3">
        <v>10.923999999999999</v>
      </c>
      <c r="L120" s="3">
        <v>0.75499999999999989</v>
      </c>
      <c r="M120" s="3">
        <v>0.35100000000000003</v>
      </c>
      <c r="N120" s="3">
        <v>346.35999999999996</v>
      </c>
      <c r="O120" s="3">
        <v>421.45799999999997</v>
      </c>
      <c r="P120" s="3">
        <v>12.271904000000001</v>
      </c>
      <c r="Q120" s="5"/>
      <c r="S120" s="5"/>
      <c r="T120" s="5"/>
    </row>
    <row r="121" spans="2:20" x14ac:dyDescent="0.2">
      <c r="B121" s="1">
        <v>119</v>
      </c>
      <c r="C121" t="s">
        <v>138</v>
      </c>
      <c r="D121" s="3">
        <v>163.26999999999998</v>
      </c>
      <c r="E121" s="3">
        <v>5.2339500000000001</v>
      </c>
      <c r="F121" s="3">
        <v>7.5851500000000005</v>
      </c>
      <c r="G121" s="3">
        <v>0.36680000000000001</v>
      </c>
      <c r="H121" s="3">
        <v>21.504750000000001</v>
      </c>
      <c r="I121" s="3">
        <v>0.58500000000000008</v>
      </c>
      <c r="J121" s="3">
        <v>99.622399999999999</v>
      </c>
      <c r="K121" s="3">
        <v>15.529999999999998</v>
      </c>
      <c r="L121" s="3">
        <v>0.8086000000000001</v>
      </c>
      <c r="M121" s="3">
        <v>1.5172500000000002</v>
      </c>
      <c r="N121" s="3">
        <v>372.03</v>
      </c>
      <c r="O121" s="3">
        <v>389.20199999999994</v>
      </c>
      <c r="P121" s="3">
        <v>13.270531999999999</v>
      </c>
      <c r="Q121" s="5"/>
      <c r="S121" s="5"/>
      <c r="T121" s="5"/>
    </row>
    <row r="122" spans="2:20" x14ac:dyDescent="0.2">
      <c r="B122" s="1">
        <v>120</v>
      </c>
      <c r="C122" t="s">
        <v>139</v>
      </c>
      <c r="D122" s="3">
        <v>168.77</v>
      </c>
      <c r="E122" s="3">
        <v>6.0919500000000006</v>
      </c>
      <c r="F122" s="3">
        <v>7.5851500000000005</v>
      </c>
      <c r="G122" s="3">
        <v>0.36680000000000001</v>
      </c>
      <c r="H122" s="3">
        <v>20.954750000000001</v>
      </c>
      <c r="I122" s="3">
        <v>0.36500000000000005</v>
      </c>
      <c r="J122" s="3">
        <v>136.36239999999998</v>
      </c>
      <c r="K122" s="3">
        <v>38.487000000000002</v>
      </c>
      <c r="L122" s="3">
        <v>1.3695999999999999</v>
      </c>
      <c r="M122" s="3">
        <v>1.1652500000000001</v>
      </c>
      <c r="N122" s="3">
        <v>1177.23</v>
      </c>
      <c r="O122" s="3">
        <v>389.20199999999994</v>
      </c>
      <c r="P122" s="3">
        <v>12.927331999999998</v>
      </c>
      <c r="Q122" s="5"/>
      <c r="S122" s="5"/>
      <c r="T122" s="5"/>
    </row>
    <row r="123" spans="2:20" x14ac:dyDescent="0.2">
      <c r="B123" s="1">
        <v>121</v>
      </c>
      <c r="C123" t="s">
        <v>140</v>
      </c>
      <c r="D123" s="3">
        <v>140.94499999999999</v>
      </c>
      <c r="E123" s="3">
        <v>5.025500000000001</v>
      </c>
      <c r="F123" s="3">
        <v>3.5009999999999994</v>
      </c>
      <c r="G123" s="3">
        <v>0.22500000000000001</v>
      </c>
      <c r="H123" s="3">
        <v>20.604499999999998</v>
      </c>
      <c r="I123" s="3">
        <v>0.14400000000000002</v>
      </c>
      <c r="J123" s="3">
        <v>140.29999999999998</v>
      </c>
      <c r="K123" s="3">
        <v>57.208000000000006</v>
      </c>
      <c r="L123" s="3">
        <v>0.41550000000000004</v>
      </c>
      <c r="M123" s="3">
        <v>1.837</v>
      </c>
      <c r="N123" s="3">
        <v>609.87</v>
      </c>
      <c r="O123" s="3">
        <v>150.08150000000001</v>
      </c>
      <c r="P123" s="3">
        <v>12.757816000000002</v>
      </c>
      <c r="Q123" s="5"/>
      <c r="S123" s="5"/>
      <c r="T123" s="5"/>
    </row>
    <row r="124" spans="2:20" x14ac:dyDescent="0.2">
      <c r="B124" s="1">
        <v>122</v>
      </c>
      <c r="C124" t="s">
        <v>141</v>
      </c>
      <c r="D124" s="3">
        <v>192.92</v>
      </c>
      <c r="E124" s="3">
        <v>6.9524000000000008</v>
      </c>
      <c r="F124" s="3">
        <v>9.3845999999999989</v>
      </c>
      <c r="G124" s="3">
        <v>0.64859999999999995</v>
      </c>
      <c r="H124" s="3">
        <v>23.648</v>
      </c>
      <c r="I124" s="3">
        <v>0.38400000000000006</v>
      </c>
      <c r="J124" s="3">
        <v>192.61999999999998</v>
      </c>
      <c r="K124" s="3">
        <v>79.281999999999996</v>
      </c>
      <c r="L124" s="3">
        <v>0.91139999999999999</v>
      </c>
      <c r="M124" s="3">
        <v>2.0979999999999999</v>
      </c>
      <c r="N124" s="3">
        <v>672.12000000000012</v>
      </c>
      <c r="O124" s="3">
        <v>203.93</v>
      </c>
      <c r="P124" s="3">
        <v>14.828800000000003</v>
      </c>
      <c r="Q124" s="5"/>
      <c r="S124" s="5"/>
      <c r="T124" s="5"/>
    </row>
    <row r="125" spans="2:20" x14ac:dyDescent="0.2">
      <c r="B125" s="1">
        <v>123</v>
      </c>
      <c r="C125" t="s">
        <v>142</v>
      </c>
      <c r="D125" s="3">
        <v>137.42500000000001</v>
      </c>
      <c r="E125" s="3">
        <v>4.7175000000000002</v>
      </c>
      <c r="F125" s="3">
        <v>3.5009999999999994</v>
      </c>
      <c r="G125" s="3">
        <v>0.22500000000000001</v>
      </c>
      <c r="H125" s="3">
        <v>20.384500000000003</v>
      </c>
      <c r="I125" s="3">
        <v>0.36399999999999999</v>
      </c>
      <c r="J125" s="3">
        <v>89.92</v>
      </c>
      <c r="K125" s="3">
        <v>9.8309999999999995</v>
      </c>
      <c r="L125" s="3">
        <v>0.63550000000000006</v>
      </c>
      <c r="M125" s="3">
        <v>1.4520000000000002</v>
      </c>
      <c r="N125" s="3">
        <v>354.67</v>
      </c>
      <c r="O125" s="3">
        <v>368.32149999999996</v>
      </c>
      <c r="P125" s="3">
        <v>12.620536000000001</v>
      </c>
      <c r="Q125" s="5"/>
      <c r="S125" s="5"/>
      <c r="T125" s="5"/>
    </row>
    <row r="126" spans="2:20" x14ac:dyDescent="0.2">
      <c r="B126" s="1">
        <v>124</v>
      </c>
      <c r="C126" t="s">
        <v>143</v>
      </c>
      <c r="D126" s="3">
        <v>142.92500000000001</v>
      </c>
      <c r="E126" s="3">
        <v>5.5755000000000008</v>
      </c>
      <c r="F126" s="3">
        <v>3.5009999999999994</v>
      </c>
      <c r="G126" s="3">
        <v>0.22500000000000001</v>
      </c>
      <c r="H126" s="3">
        <v>19.834500000000002</v>
      </c>
      <c r="I126" s="3">
        <v>0.14400000000000002</v>
      </c>
      <c r="J126" s="3">
        <v>126.66</v>
      </c>
      <c r="K126" s="3">
        <v>32.788000000000004</v>
      </c>
      <c r="L126" s="3">
        <v>1.1965000000000001</v>
      </c>
      <c r="M126" s="3">
        <v>1.1000000000000001</v>
      </c>
      <c r="N126" s="3">
        <v>1159.8699999999999</v>
      </c>
      <c r="O126" s="3">
        <v>368.32149999999996</v>
      </c>
      <c r="P126" s="3">
        <v>12.277336</v>
      </c>
      <c r="Q126" s="5"/>
      <c r="S126" s="5"/>
      <c r="T126" s="5"/>
    </row>
    <row r="127" spans="2:20" x14ac:dyDescent="0.2">
      <c r="B127" s="1">
        <v>125</v>
      </c>
      <c r="C127" t="s">
        <v>144</v>
      </c>
      <c r="D127" s="3">
        <v>240.44</v>
      </c>
      <c r="E127" s="3">
        <v>10.692399999999999</v>
      </c>
      <c r="F127" s="3">
        <v>9.3845999999999989</v>
      </c>
      <c r="G127" s="3">
        <v>0.64859999999999995</v>
      </c>
      <c r="H127" s="3">
        <v>27.058</v>
      </c>
      <c r="I127" s="3">
        <v>0.38400000000000006</v>
      </c>
      <c r="J127" s="3">
        <v>121.77999999999999</v>
      </c>
      <c r="K127" s="3">
        <v>33.192</v>
      </c>
      <c r="L127" s="3">
        <v>1.0214000000000001</v>
      </c>
      <c r="M127" s="3">
        <v>5.024</v>
      </c>
      <c r="N127" s="3">
        <v>474.12</v>
      </c>
      <c r="O127" s="3">
        <v>833.79</v>
      </c>
      <c r="P127" s="3">
        <v>16.95664</v>
      </c>
      <c r="Q127" s="5"/>
      <c r="S127" s="5"/>
      <c r="T127" s="5"/>
    </row>
    <row r="128" spans="2:20" x14ac:dyDescent="0.2">
      <c r="B128" s="1">
        <v>126</v>
      </c>
      <c r="C128" t="s">
        <v>145</v>
      </c>
      <c r="D128" s="3">
        <v>136.01</v>
      </c>
      <c r="E128" s="3">
        <v>5.6210000000000004</v>
      </c>
      <c r="F128" s="3">
        <v>0.94499999999999995</v>
      </c>
      <c r="G128" s="3">
        <v>0.94</v>
      </c>
      <c r="H128" s="3">
        <v>19.915000000000003</v>
      </c>
      <c r="I128" s="3">
        <v>0.63500000000000001</v>
      </c>
      <c r="J128" s="3">
        <v>164.65999999999997</v>
      </c>
      <c r="K128" s="3">
        <v>38.387999999999998</v>
      </c>
      <c r="L128" s="3">
        <v>1.4870000000000001</v>
      </c>
      <c r="M128" s="3">
        <v>1.1000000000000001</v>
      </c>
      <c r="N128" s="3">
        <v>1222.08</v>
      </c>
      <c r="O128" s="3">
        <v>377.03199999999998</v>
      </c>
      <c r="P128" s="3">
        <v>12.897600000000001</v>
      </c>
      <c r="Q128" s="5"/>
      <c r="S128" s="5"/>
      <c r="T128" s="5"/>
    </row>
    <row r="129" spans="2:20" x14ac:dyDescent="0.2">
      <c r="B129" s="1">
        <v>127</v>
      </c>
      <c r="C129" t="s">
        <v>146</v>
      </c>
      <c r="D129" s="3">
        <v>130.51</v>
      </c>
      <c r="E129" s="3">
        <v>4.7630000000000008</v>
      </c>
      <c r="F129" s="3">
        <v>0.94499999999999995</v>
      </c>
      <c r="G129" s="3">
        <v>0.94</v>
      </c>
      <c r="H129" s="3">
        <v>20.465000000000003</v>
      </c>
      <c r="I129" s="3">
        <v>0.85499999999999998</v>
      </c>
      <c r="J129" s="3">
        <v>127.92</v>
      </c>
      <c r="K129" s="3">
        <v>15.430999999999999</v>
      </c>
      <c r="L129" s="3">
        <v>0.92600000000000005</v>
      </c>
      <c r="M129" s="3">
        <v>1.4520000000000002</v>
      </c>
      <c r="N129" s="3">
        <v>416.88</v>
      </c>
      <c r="O129" s="3">
        <v>377.03199999999998</v>
      </c>
      <c r="P129" s="3">
        <v>13.240800000000002</v>
      </c>
      <c r="Q129" s="5"/>
      <c r="S129" s="5"/>
      <c r="T129" s="5"/>
    </row>
    <row r="130" spans="2:20" x14ac:dyDescent="0.2">
      <c r="B130" s="1">
        <v>128</v>
      </c>
      <c r="C130" t="s">
        <v>147</v>
      </c>
      <c r="D130" s="3">
        <v>156.69</v>
      </c>
      <c r="E130" s="3">
        <v>5.5390000000000006</v>
      </c>
      <c r="F130" s="3">
        <v>6.2039999999999997</v>
      </c>
      <c r="G130" s="3">
        <v>2.5640000000000001</v>
      </c>
      <c r="H130" s="3">
        <v>18.881</v>
      </c>
      <c r="I130" s="3">
        <v>3.5309999999999997</v>
      </c>
      <c r="J130" s="3">
        <v>365.6</v>
      </c>
      <c r="K130" s="3">
        <v>35.588000000000001</v>
      </c>
      <c r="L130" s="3">
        <v>1.4530000000000001</v>
      </c>
      <c r="M130" s="3">
        <v>3.4649999999999999</v>
      </c>
      <c r="N130" s="3">
        <v>834.68000000000006</v>
      </c>
      <c r="O130" s="3">
        <v>362.62199999999996</v>
      </c>
      <c r="P130" s="3">
        <v>11.034112</v>
      </c>
      <c r="Q130" s="5"/>
      <c r="S130" s="5"/>
      <c r="T130" s="5"/>
    </row>
    <row r="131" spans="2:20" x14ac:dyDescent="0.2">
      <c r="B131" s="1">
        <v>129</v>
      </c>
      <c r="C131" t="s">
        <v>148</v>
      </c>
      <c r="D131" s="3">
        <v>112.36</v>
      </c>
      <c r="E131" s="3">
        <v>3.6240000000000006</v>
      </c>
      <c r="F131" s="3">
        <v>0</v>
      </c>
      <c r="G131" s="3">
        <v>0</v>
      </c>
      <c r="H131" s="3">
        <v>19.925000000000004</v>
      </c>
      <c r="I131" s="3">
        <v>0.22</v>
      </c>
      <c r="J131" s="3">
        <v>71.87</v>
      </c>
      <c r="K131" s="3">
        <v>4.8789999999999996</v>
      </c>
      <c r="L131" s="3">
        <v>0.54049999999999998</v>
      </c>
      <c r="M131" s="3">
        <v>1.4520000000000002</v>
      </c>
      <c r="N131" s="3">
        <v>348.61</v>
      </c>
      <c r="O131" s="3">
        <v>349.26649999999995</v>
      </c>
      <c r="P131" s="3">
        <v>12.445920000000003</v>
      </c>
      <c r="Q131" s="5"/>
      <c r="S131" s="5"/>
      <c r="T131" s="5"/>
    </row>
    <row r="132" spans="2:20" x14ac:dyDescent="0.2">
      <c r="B132" s="1">
        <v>130</v>
      </c>
      <c r="C132" t="s">
        <v>149</v>
      </c>
      <c r="D132" s="3">
        <v>171.98</v>
      </c>
      <c r="E132" s="3">
        <v>4.6404000000000005</v>
      </c>
      <c r="F132" s="3">
        <v>5.8559999999999999</v>
      </c>
      <c r="G132" s="3">
        <v>0.1416</v>
      </c>
      <c r="H132" s="3">
        <v>26.445999999999998</v>
      </c>
      <c r="I132" s="3">
        <v>0.33600000000000002</v>
      </c>
      <c r="J132" s="3">
        <v>137.91759999999999</v>
      </c>
      <c r="K132" s="3">
        <v>14.909999999999998</v>
      </c>
      <c r="L132" s="3">
        <v>0.52900000000000003</v>
      </c>
      <c r="M132" s="3">
        <v>2.145</v>
      </c>
      <c r="N132" s="3">
        <v>1275.6400000000001</v>
      </c>
      <c r="O132" s="3">
        <v>112.054</v>
      </c>
      <c r="P132" s="3">
        <v>16.315488000000002</v>
      </c>
      <c r="Q132" s="5"/>
      <c r="S132" s="5"/>
      <c r="T132" s="5"/>
    </row>
    <row r="133" spans="2:20" x14ac:dyDescent="0.2">
      <c r="B133" s="1">
        <v>131</v>
      </c>
      <c r="C133" t="s">
        <v>150</v>
      </c>
      <c r="D133" s="3">
        <v>167.37</v>
      </c>
      <c r="E133" s="3">
        <v>3.8746</v>
      </c>
      <c r="F133" s="3">
        <v>5.4784000000000006</v>
      </c>
      <c r="G133" s="3">
        <v>0.38239999999999996</v>
      </c>
      <c r="H133" s="3">
        <v>27.871000000000002</v>
      </c>
      <c r="I133" s="3">
        <v>0.22400000000000003</v>
      </c>
      <c r="J133" s="3">
        <v>180.48</v>
      </c>
      <c r="K133" s="3">
        <v>29.79</v>
      </c>
      <c r="L133" s="3">
        <v>0.78060000000000007</v>
      </c>
      <c r="M133" s="3">
        <v>2.319</v>
      </c>
      <c r="N133" s="3">
        <v>1307.68</v>
      </c>
      <c r="O133" s="3">
        <v>106.392</v>
      </c>
      <c r="P133" s="3">
        <v>17.462832000000002</v>
      </c>
      <c r="Q133" s="5"/>
      <c r="S133" s="5"/>
      <c r="T133" s="5"/>
    </row>
    <row r="134" spans="2:20" x14ac:dyDescent="0.2">
      <c r="B134" s="1">
        <v>132</v>
      </c>
      <c r="C134" t="s">
        <v>151</v>
      </c>
      <c r="D134" s="3">
        <v>243.35</v>
      </c>
      <c r="E134" s="3">
        <v>5.835</v>
      </c>
      <c r="F134" s="3">
        <v>24.3</v>
      </c>
      <c r="G134" s="3">
        <v>1.17</v>
      </c>
      <c r="H134" s="3">
        <v>21.365000000000002</v>
      </c>
      <c r="I134" s="3">
        <v>2.9000000000000004</v>
      </c>
      <c r="J134" s="3">
        <v>66.11</v>
      </c>
      <c r="K134" s="3">
        <v>25.89</v>
      </c>
      <c r="L134" s="3">
        <v>1.8574999999999999</v>
      </c>
      <c r="M134" s="3">
        <v>1.32</v>
      </c>
      <c r="N134" s="3">
        <v>360.35</v>
      </c>
      <c r="O134" s="3">
        <v>433.49749999999995</v>
      </c>
      <c r="P134" s="3">
        <v>12.419840000000001</v>
      </c>
      <c r="Q134" s="5"/>
      <c r="S134" s="5"/>
      <c r="T134" s="5"/>
    </row>
    <row r="135" spans="2:20" x14ac:dyDescent="0.2">
      <c r="B135" s="1">
        <v>133</v>
      </c>
      <c r="C135" t="s">
        <v>152</v>
      </c>
      <c r="D135" s="3">
        <v>167.45999999999998</v>
      </c>
      <c r="E135" s="3">
        <v>8.3516000000000012</v>
      </c>
      <c r="F135" s="3">
        <v>3.2400000000000005E-2</v>
      </c>
      <c r="G135" s="3">
        <v>3.2400000000000005E-2</v>
      </c>
      <c r="H135" s="3">
        <v>23.014000000000003</v>
      </c>
      <c r="I135" s="3">
        <v>0.22</v>
      </c>
      <c r="J135" s="3">
        <v>118.25</v>
      </c>
      <c r="K135" s="3">
        <v>63.098999999999997</v>
      </c>
      <c r="L135" s="3">
        <v>0.77210000000000001</v>
      </c>
      <c r="M135" s="3">
        <v>1.758</v>
      </c>
      <c r="N135" s="3">
        <v>456.25</v>
      </c>
      <c r="O135" s="3">
        <v>459.84149999999994</v>
      </c>
      <c r="P135" s="3">
        <v>14.874576000000001</v>
      </c>
      <c r="Q135" s="5"/>
      <c r="S135" s="5"/>
      <c r="T135" s="5"/>
    </row>
    <row r="136" spans="2:20" x14ac:dyDescent="0.2">
      <c r="B136" s="1">
        <v>134</v>
      </c>
      <c r="C136" t="s">
        <v>153</v>
      </c>
      <c r="D136" s="3">
        <v>148.85</v>
      </c>
      <c r="E136" s="3">
        <v>3.7249999999999996</v>
      </c>
      <c r="F136" s="3">
        <v>10.934000000000001</v>
      </c>
      <c r="G136" s="3">
        <v>2.29</v>
      </c>
      <c r="H136" s="3">
        <v>17.019000000000002</v>
      </c>
      <c r="I136" s="3">
        <v>1.7600000000000002</v>
      </c>
      <c r="J136" s="3">
        <v>152.72</v>
      </c>
      <c r="K136" s="3">
        <v>19.75</v>
      </c>
      <c r="L136" s="3">
        <v>0.79900000000000015</v>
      </c>
      <c r="M136" s="3">
        <v>1.2250000000000001</v>
      </c>
      <c r="N136" s="3">
        <v>522.20000000000005</v>
      </c>
      <c r="O136" s="3">
        <v>501.21249999999998</v>
      </c>
      <c r="P136" s="3">
        <v>15.311488000000001</v>
      </c>
      <c r="Q136" s="5"/>
      <c r="S136" s="5"/>
      <c r="T136" s="5"/>
    </row>
    <row r="137" spans="2:20" x14ac:dyDescent="0.2">
      <c r="B137" s="1">
        <v>135</v>
      </c>
      <c r="C137" t="s">
        <v>154</v>
      </c>
      <c r="D137" s="3">
        <v>199.29000000000002</v>
      </c>
      <c r="E137" s="3">
        <v>11.226500000000001</v>
      </c>
      <c r="F137" s="3">
        <v>5.7510000000000003</v>
      </c>
      <c r="G137" s="3">
        <v>0.47</v>
      </c>
      <c r="H137" s="3">
        <v>19.352</v>
      </c>
      <c r="I137" s="3">
        <v>0.24400000000000002</v>
      </c>
      <c r="J137" s="3">
        <v>102.3</v>
      </c>
      <c r="K137" s="3">
        <v>94.76</v>
      </c>
      <c r="L137" s="3">
        <v>2.786</v>
      </c>
      <c r="M137" s="3">
        <v>0.62</v>
      </c>
      <c r="N137" s="3">
        <v>111.03999999999999</v>
      </c>
      <c r="O137" s="3">
        <v>382.56449999999995</v>
      </c>
      <c r="P137" s="3">
        <v>11.932815999999999</v>
      </c>
      <c r="Q137" s="5"/>
      <c r="S137" s="5"/>
      <c r="T137" s="5"/>
    </row>
    <row r="138" spans="2:20" x14ac:dyDescent="0.2">
      <c r="B138" s="1">
        <v>136</v>
      </c>
      <c r="C138" t="s">
        <v>155</v>
      </c>
      <c r="D138" s="3">
        <v>185.8</v>
      </c>
      <c r="E138" s="3">
        <v>8.2446000000000002</v>
      </c>
      <c r="F138" s="3">
        <v>8.7424000000000017</v>
      </c>
      <c r="G138" s="3">
        <v>0.52739999999999998</v>
      </c>
      <c r="H138" s="3">
        <v>18.469000000000001</v>
      </c>
      <c r="I138" s="3">
        <v>0.9</v>
      </c>
      <c r="J138" s="3">
        <v>174.4</v>
      </c>
      <c r="K138" s="3">
        <v>17.765999999999998</v>
      </c>
      <c r="L138" s="3">
        <v>0.95560000000000012</v>
      </c>
      <c r="M138" s="3">
        <v>1.399</v>
      </c>
      <c r="N138" s="3">
        <v>560.6</v>
      </c>
      <c r="O138" s="3">
        <v>566.37599999999998</v>
      </c>
      <c r="P138" s="3">
        <v>16.359535999999999</v>
      </c>
      <c r="Q138" s="5"/>
      <c r="S138" s="5"/>
      <c r="T138" s="5"/>
    </row>
    <row r="139" spans="2:20" x14ac:dyDescent="0.2">
      <c r="B139" s="1">
        <v>137</v>
      </c>
      <c r="C139" t="s">
        <v>156</v>
      </c>
      <c r="D139" s="3">
        <v>147.29500000000002</v>
      </c>
      <c r="E139" s="3">
        <v>5.1808500000000004</v>
      </c>
      <c r="F139" s="3">
        <v>4.29115</v>
      </c>
      <c r="G139" s="3">
        <v>0.28715000000000002</v>
      </c>
      <c r="H139" s="3">
        <v>21.057000000000002</v>
      </c>
      <c r="I139" s="3">
        <v>0.39600000000000002</v>
      </c>
      <c r="J139" s="3">
        <v>99.5</v>
      </c>
      <c r="K139" s="3">
        <v>14.386999999999997</v>
      </c>
      <c r="L139" s="3">
        <v>0.74110000000000009</v>
      </c>
      <c r="M139" s="3">
        <v>1.5172500000000002</v>
      </c>
      <c r="N139" s="3">
        <v>369.69</v>
      </c>
      <c r="O139" s="3">
        <v>380.88149999999996</v>
      </c>
      <c r="P139" s="3">
        <v>13.10576</v>
      </c>
      <c r="Q139" s="5"/>
      <c r="S139" s="5"/>
      <c r="T139" s="5"/>
    </row>
    <row r="140" spans="2:20" x14ac:dyDescent="0.2">
      <c r="B140" s="1">
        <v>138</v>
      </c>
      <c r="C140" t="s">
        <v>157</v>
      </c>
      <c r="D140" s="3">
        <v>152.79500000000002</v>
      </c>
      <c r="E140" s="3">
        <v>6.0388500000000001</v>
      </c>
      <c r="F140" s="3">
        <v>4.29115</v>
      </c>
      <c r="G140" s="3">
        <v>0.28715000000000002</v>
      </c>
      <c r="H140" s="3">
        <v>20.507000000000001</v>
      </c>
      <c r="I140" s="3">
        <v>0.17600000000000002</v>
      </c>
      <c r="J140" s="3">
        <v>136.23999999999998</v>
      </c>
      <c r="K140" s="3">
        <v>37.344000000000001</v>
      </c>
      <c r="L140" s="3">
        <v>1.3021</v>
      </c>
      <c r="M140" s="3">
        <v>1.1652500000000001</v>
      </c>
      <c r="N140" s="3">
        <v>1174.8900000000001</v>
      </c>
      <c r="O140" s="3">
        <v>380.88149999999996</v>
      </c>
      <c r="P140" s="3">
        <v>12.762559999999999</v>
      </c>
      <c r="Q140" s="5"/>
      <c r="S140" s="5"/>
      <c r="T140" s="5"/>
    </row>
    <row r="141" spans="2:20" x14ac:dyDescent="0.2">
      <c r="B141" s="1">
        <v>139</v>
      </c>
      <c r="C141" t="s">
        <v>158</v>
      </c>
      <c r="D141" s="3">
        <v>198.33500000000001</v>
      </c>
      <c r="E141" s="3">
        <v>9.2288500000000013</v>
      </c>
      <c r="F141" s="3">
        <v>4.29115</v>
      </c>
      <c r="G141" s="3">
        <v>0.28715000000000002</v>
      </c>
      <c r="H141" s="3">
        <v>24.686999999999998</v>
      </c>
      <c r="I141" s="3">
        <v>0.17600000000000002</v>
      </c>
      <c r="J141" s="3">
        <v>79.039999999999992</v>
      </c>
      <c r="K141" s="3">
        <v>15.673999999999999</v>
      </c>
      <c r="L141" s="3">
        <v>0.63109999999999999</v>
      </c>
      <c r="M141" s="3">
        <v>4.8282499999999997</v>
      </c>
      <c r="N141" s="3">
        <v>426.89</v>
      </c>
      <c r="O141" s="3">
        <v>792.50149999999996</v>
      </c>
      <c r="P141" s="3">
        <v>15.370879999999998</v>
      </c>
      <c r="Q141" s="5"/>
      <c r="S141" s="5"/>
      <c r="T141" s="5"/>
    </row>
    <row r="142" spans="2:20" x14ac:dyDescent="0.2">
      <c r="B142" s="1">
        <v>140</v>
      </c>
      <c r="C142" t="s">
        <v>159</v>
      </c>
      <c r="D142" s="3">
        <v>147.29500000000002</v>
      </c>
      <c r="E142" s="3">
        <v>5.1808500000000004</v>
      </c>
      <c r="F142" s="3">
        <v>4.29115</v>
      </c>
      <c r="G142" s="3">
        <v>0.28715000000000002</v>
      </c>
      <c r="H142" s="3">
        <v>21.057000000000002</v>
      </c>
      <c r="I142" s="3">
        <v>0.39600000000000002</v>
      </c>
      <c r="J142" s="3">
        <v>99.5</v>
      </c>
      <c r="K142" s="3">
        <v>14.386999999999997</v>
      </c>
      <c r="L142" s="3">
        <v>0.74110000000000009</v>
      </c>
      <c r="M142" s="3">
        <v>1.5172500000000002</v>
      </c>
      <c r="N142" s="3">
        <v>369.69</v>
      </c>
      <c r="O142" s="3">
        <v>380.88149999999996</v>
      </c>
      <c r="P142" s="3">
        <v>13.10576</v>
      </c>
      <c r="Q142" s="5"/>
      <c r="S142" s="5"/>
      <c r="T142" s="5"/>
    </row>
    <row r="143" spans="2:20" x14ac:dyDescent="0.2">
      <c r="B143" s="1">
        <v>141</v>
      </c>
      <c r="C143" t="s">
        <v>160</v>
      </c>
      <c r="D143" s="3">
        <v>96</v>
      </c>
      <c r="E143" s="3">
        <v>3.4750000000000001</v>
      </c>
      <c r="F143" s="3">
        <v>0.505</v>
      </c>
      <c r="G143" s="3">
        <v>0</v>
      </c>
      <c r="H143" s="3">
        <v>15.65</v>
      </c>
      <c r="I143" s="3">
        <v>0</v>
      </c>
      <c r="J143" s="3">
        <v>135</v>
      </c>
      <c r="K143" s="3">
        <v>0.5</v>
      </c>
      <c r="L143" s="3">
        <v>0.25</v>
      </c>
      <c r="M143" s="3">
        <v>1.2250000000000001</v>
      </c>
      <c r="N143" s="3">
        <v>500</v>
      </c>
      <c r="O143" s="3">
        <v>464.3</v>
      </c>
      <c r="P143" s="3">
        <v>14.523199999999999</v>
      </c>
      <c r="Q143" s="5"/>
      <c r="S143" s="5"/>
      <c r="T143" s="5"/>
    </row>
    <row r="144" spans="2:20" x14ac:dyDescent="0.2">
      <c r="B144" s="1">
        <v>142</v>
      </c>
      <c r="C144" t="s">
        <v>161</v>
      </c>
      <c r="D144" s="3">
        <v>69.599999999999994</v>
      </c>
      <c r="E144" s="3">
        <v>5.7450000000000001</v>
      </c>
      <c r="F144" s="3">
        <v>2.4449999999999998</v>
      </c>
      <c r="G144" s="3">
        <v>1.8</v>
      </c>
      <c r="H144" s="3">
        <v>1.5249999999999999</v>
      </c>
      <c r="I144" s="3">
        <v>2.7</v>
      </c>
      <c r="J144" s="3">
        <v>80.05</v>
      </c>
      <c r="K144" s="3">
        <v>37.51</v>
      </c>
      <c r="L144" s="3">
        <v>1.2774999999999999</v>
      </c>
      <c r="M144" s="3">
        <v>0</v>
      </c>
      <c r="N144" s="3">
        <v>151.35</v>
      </c>
      <c r="O144" s="3">
        <v>107.6275</v>
      </c>
      <c r="P144" s="3">
        <v>2.2447999999999997</v>
      </c>
      <c r="Q144" s="5"/>
      <c r="S144" s="5"/>
      <c r="T144" s="5"/>
    </row>
    <row r="145" spans="2:20" x14ac:dyDescent="0.2">
      <c r="B145" s="1">
        <v>143</v>
      </c>
      <c r="C145" t="s">
        <v>162</v>
      </c>
      <c r="D145" s="3">
        <v>94.5</v>
      </c>
      <c r="E145" s="3">
        <v>5.5949999999999998</v>
      </c>
      <c r="F145" s="3">
        <v>4.6500000000000004</v>
      </c>
      <c r="G145" s="3">
        <v>4.6500000000000004</v>
      </c>
      <c r="H145" s="3">
        <v>4.5250000000000004</v>
      </c>
      <c r="I145" s="3">
        <v>4.6500000000000004</v>
      </c>
      <c r="J145" s="3">
        <v>18.25</v>
      </c>
      <c r="K145" s="3">
        <v>42.01</v>
      </c>
      <c r="L145" s="3">
        <v>1.2024999999999999</v>
      </c>
      <c r="M145" s="3">
        <v>0</v>
      </c>
      <c r="N145" s="3">
        <v>101.85</v>
      </c>
      <c r="O145" s="3">
        <v>120.8275</v>
      </c>
      <c r="P145" s="3">
        <v>6.6608000000000001</v>
      </c>
      <c r="Q145" s="5"/>
      <c r="S145" s="5"/>
      <c r="T145" s="5"/>
    </row>
    <row r="146" spans="2:20" x14ac:dyDescent="0.2">
      <c r="B146" s="1">
        <v>144</v>
      </c>
      <c r="C146" t="s">
        <v>163</v>
      </c>
      <c r="D146" s="3">
        <v>94.5</v>
      </c>
      <c r="E146" s="3">
        <v>5.2949999999999999</v>
      </c>
      <c r="F146" s="3">
        <v>3.75</v>
      </c>
      <c r="G146" s="3">
        <v>2.85</v>
      </c>
      <c r="H146" s="3">
        <v>4.0750000000000002</v>
      </c>
      <c r="I146" s="3">
        <v>8.25</v>
      </c>
      <c r="J146" s="3">
        <v>199.75</v>
      </c>
      <c r="K146" s="3">
        <v>129.01</v>
      </c>
      <c r="L146" s="3">
        <v>1.5024999999999999</v>
      </c>
      <c r="M146" s="3">
        <v>0</v>
      </c>
      <c r="N146" s="3">
        <v>65.849999999999994</v>
      </c>
      <c r="O146" s="3">
        <v>194.7775</v>
      </c>
      <c r="P146" s="3">
        <v>5.9984000000000002</v>
      </c>
      <c r="Q146" s="5"/>
      <c r="S146" s="5"/>
      <c r="T146" s="5"/>
    </row>
    <row r="147" spans="2:20" x14ac:dyDescent="0.2">
      <c r="B147" s="1">
        <v>145</v>
      </c>
      <c r="C147" t="s">
        <v>164</v>
      </c>
      <c r="D147" s="3">
        <v>85.5</v>
      </c>
      <c r="E147" s="3">
        <v>5.5095000000000001</v>
      </c>
      <c r="F147" s="3">
        <v>7.8949999999999996</v>
      </c>
      <c r="G147" s="3">
        <v>6.12</v>
      </c>
      <c r="H147" s="3">
        <v>0.67500000000000004</v>
      </c>
      <c r="I147" s="3">
        <v>2.72</v>
      </c>
      <c r="J147" s="3">
        <v>44.3</v>
      </c>
      <c r="K147" s="3">
        <v>25.560000000000002</v>
      </c>
      <c r="L147" s="3">
        <v>0.249</v>
      </c>
      <c r="M147" s="3">
        <v>0</v>
      </c>
      <c r="N147" s="3">
        <v>48.7</v>
      </c>
      <c r="O147" s="3">
        <v>94.847499999999997</v>
      </c>
      <c r="P147" s="3">
        <v>0.99359999999999982</v>
      </c>
      <c r="Q147" s="5"/>
      <c r="S147" s="5"/>
      <c r="T147" s="5"/>
    </row>
    <row r="148" spans="2:20" x14ac:dyDescent="0.2">
      <c r="B148" s="1">
        <v>146</v>
      </c>
      <c r="C148" t="s">
        <v>165</v>
      </c>
      <c r="D148" s="3">
        <v>81</v>
      </c>
      <c r="E148" s="3">
        <v>5.1450000000000005</v>
      </c>
      <c r="F148" s="3">
        <v>3.6</v>
      </c>
      <c r="G148" s="3">
        <v>3.6</v>
      </c>
      <c r="H148" s="3">
        <v>3.1749999999999998</v>
      </c>
      <c r="I148" s="3">
        <v>4.3499999999999996</v>
      </c>
      <c r="J148" s="3">
        <v>3.25</v>
      </c>
      <c r="K148" s="3">
        <v>52.51</v>
      </c>
      <c r="L148" s="3">
        <v>1.3525</v>
      </c>
      <c r="M148" s="3">
        <v>0</v>
      </c>
      <c r="N148" s="3">
        <v>94.35</v>
      </c>
      <c r="O148" s="3">
        <v>154.1275</v>
      </c>
      <c r="P148" s="3">
        <v>4.6736000000000004</v>
      </c>
      <c r="Q148" s="5"/>
      <c r="S148" s="5"/>
      <c r="T148" s="5"/>
    </row>
    <row r="149" spans="2:20" x14ac:dyDescent="0.2">
      <c r="B149" s="1">
        <v>147</v>
      </c>
      <c r="C149" t="s">
        <v>166</v>
      </c>
      <c r="D149" s="3">
        <v>71.16</v>
      </c>
      <c r="E149" s="3">
        <v>5.5949999999999998</v>
      </c>
      <c r="F149" s="3">
        <v>3.1559999999999997</v>
      </c>
      <c r="G149" s="3">
        <v>2.64</v>
      </c>
      <c r="H149" s="3">
        <v>1.2249999999999999</v>
      </c>
      <c r="I149" s="3">
        <v>3.12</v>
      </c>
      <c r="J149" s="3">
        <v>26.65</v>
      </c>
      <c r="K149" s="3">
        <v>44.41</v>
      </c>
      <c r="L149" s="3">
        <v>0.24249999999999999</v>
      </c>
      <c r="M149" s="3">
        <v>0</v>
      </c>
      <c r="N149" s="3">
        <v>73.95</v>
      </c>
      <c r="O149" s="3">
        <v>95.477499999999992</v>
      </c>
      <c r="P149" s="3">
        <v>1.8031999999999999</v>
      </c>
      <c r="Q149" s="5"/>
      <c r="S149" s="5"/>
      <c r="T149" s="5"/>
    </row>
    <row r="150" spans="2:20" x14ac:dyDescent="0.2">
      <c r="B150" s="1">
        <v>148</v>
      </c>
      <c r="C150" t="s">
        <v>167</v>
      </c>
      <c r="D150" s="3">
        <v>68.16</v>
      </c>
      <c r="E150" s="3">
        <v>5.3070000000000004</v>
      </c>
      <c r="F150" s="3">
        <v>2.988</v>
      </c>
      <c r="G150" s="3">
        <v>2.9760000000000004</v>
      </c>
      <c r="H150" s="3">
        <v>1.0569999999999999</v>
      </c>
      <c r="I150" s="3">
        <v>1.44</v>
      </c>
      <c r="J150" s="3">
        <v>4.1140000000000008</v>
      </c>
      <c r="K150" s="3">
        <v>9.7780000000000005</v>
      </c>
      <c r="L150" s="3">
        <v>0.14649999999999999</v>
      </c>
      <c r="M150" s="3">
        <v>0</v>
      </c>
      <c r="N150" s="3">
        <v>70.349999999999994</v>
      </c>
      <c r="O150" s="3">
        <v>77.040900000400001</v>
      </c>
      <c r="P150" s="3">
        <v>1.5559039999999997</v>
      </c>
      <c r="Q150" s="5"/>
      <c r="S150" s="5"/>
      <c r="T150" s="5"/>
    </row>
    <row r="151" spans="2:20" x14ac:dyDescent="0.2">
      <c r="B151" s="1">
        <v>149</v>
      </c>
      <c r="C151" t="s">
        <v>168</v>
      </c>
      <c r="D151" s="3">
        <v>74.59</v>
      </c>
      <c r="E151" s="3">
        <v>5.4830000000000005</v>
      </c>
      <c r="F151" s="3">
        <v>4.3499999999999996</v>
      </c>
      <c r="G151" s="3">
        <v>3.7840000000000003</v>
      </c>
      <c r="H151" s="3">
        <v>1.3039999999999998</v>
      </c>
      <c r="I151" s="3">
        <v>1.93</v>
      </c>
      <c r="J151" s="3">
        <v>18.716000000000001</v>
      </c>
      <c r="K151" s="3">
        <v>31.152000000000001</v>
      </c>
      <c r="L151" s="3">
        <v>0.45850000000000002</v>
      </c>
      <c r="M151" s="3">
        <v>0</v>
      </c>
      <c r="N151" s="3">
        <v>58.849999999999994</v>
      </c>
      <c r="O151" s="3">
        <v>95.708350000099998</v>
      </c>
      <c r="P151" s="3">
        <v>1.9194879999999999</v>
      </c>
      <c r="Q151" s="5"/>
      <c r="S151" s="5"/>
      <c r="T151" s="5"/>
    </row>
    <row r="152" spans="2:20" x14ac:dyDescent="0.2">
      <c r="B152" s="1">
        <v>150</v>
      </c>
      <c r="C152" t="s">
        <v>169</v>
      </c>
      <c r="D152" s="3">
        <v>78.62</v>
      </c>
      <c r="E152" s="3">
        <v>5.5449999999999999</v>
      </c>
      <c r="F152" s="3">
        <v>4.9249999999999998</v>
      </c>
      <c r="G152" s="3">
        <v>4.16</v>
      </c>
      <c r="H152" s="3">
        <v>1.4770000000000001</v>
      </c>
      <c r="I152" s="3">
        <v>2.6100000000000003</v>
      </c>
      <c r="J152" s="3">
        <v>28.549999999999997</v>
      </c>
      <c r="K152" s="3">
        <v>43.61</v>
      </c>
      <c r="L152" s="3">
        <v>0.5585</v>
      </c>
      <c r="M152" s="3">
        <v>0</v>
      </c>
      <c r="N152" s="3">
        <v>60.85</v>
      </c>
      <c r="O152" s="3">
        <v>97.577500000000001</v>
      </c>
      <c r="P152" s="3">
        <v>2.1741439999999996</v>
      </c>
      <c r="Q152" s="5"/>
      <c r="S152" s="5"/>
      <c r="T152" s="5"/>
    </row>
    <row r="153" spans="2:20" x14ac:dyDescent="0.2">
      <c r="B153" s="1">
        <v>151</v>
      </c>
      <c r="C153" t="s">
        <v>170</v>
      </c>
      <c r="D153" s="3">
        <v>60.4</v>
      </c>
      <c r="E153" s="3">
        <v>5.2750000000000004</v>
      </c>
      <c r="F153" s="3">
        <v>1.54</v>
      </c>
      <c r="G153" s="3">
        <v>1.54</v>
      </c>
      <c r="H153" s="3">
        <v>1.2849999999999999</v>
      </c>
      <c r="I153" s="3">
        <v>1.05</v>
      </c>
      <c r="J153" s="3">
        <v>6.55</v>
      </c>
      <c r="K153" s="3">
        <v>31.51</v>
      </c>
      <c r="L153" s="3">
        <v>0.5625</v>
      </c>
      <c r="M153" s="3">
        <v>0</v>
      </c>
      <c r="N153" s="3">
        <v>45.05</v>
      </c>
      <c r="O153" s="3">
        <v>88.667500000000004</v>
      </c>
      <c r="P153" s="3">
        <v>1.8915200000000001</v>
      </c>
      <c r="Q153" s="5"/>
      <c r="S153" s="5"/>
      <c r="T153" s="5"/>
    </row>
    <row r="154" spans="2:20" x14ac:dyDescent="0.2">
      <c r="B154" s="1">
        <v>152</v>
      </c>
      <c r="C154" t="s">
        <v>176</v>
      </c>
      <c r="D154" s="3">
        <v>97.5</v>
      </c>
      <c r="E154" s="3">
        <v>6.0449999999999999</v>
      </c>
      <c r="F154" s="3">
        <v>4.3499999999999996</v>
      </c>
      <c r="G154" s="3">
        <v>0.6</v>
      </c>
      <c r="H154" s="3">
        <v>5.125</v>
      </c>
      <c r="I154" s="3">
        <v>2.85</v>
      </c>
      <c r="J154" s="3">
        <v>150.25</v>
      </c>
      <c r="K154" s="3">
        <v>117.01</v>
      </c>
      <c r="L154" s="3">
        <v>4.3525</v>
      </c>
      <c r="M154" s="3">
        <v>0</v>
      </c>
      <c r="N154" s="3">
        <v>67.349999999999994</v>
      </c>
      <c r="O154" s="3">
        <v>115.8775</v>
      </c>
      <c r="P154" s="3">
        <v>7.5440000000000005</v>
      </c>
      <c r="Q154" s="5"/>
      <c r="S154" s="5"/>
      <c r="T154" s="5"/>
    </row>
    <row r="155" spans="2:20" x14ac:dyDescent="0.2">
      <c r="B155" s="1">
        <v>153</v>
      </c>
      <c r="C155" t="s">
        <v>177</v>
      </c>
      <c r="D155" s="3">
        <v>84.03</v>
      </c>
      <c r="E155" s="3">
        <v>5.4690000000000003</v>
      </c>
      <c r="F155" s="3">
        <v>5.8120000000000003</v>
      </c>
      <c r="G155" s="3">
        <v>2.8850000000000002</v>
      </c>
      <c r="H155" s="3">
        <v>2.274</v>
      </c>
      <c r="I155" s="3">
        <v>1.7029999999999998</v>
      </c>
      <c r="J155" s="3">
        <v>29.75</v>
      </c>
      <c r="K155" s="3">
        <v>32.46</v>
      </c>
      <c r="L155" s="3">
        <v>0.62649999999999995</v>
      </c>
      <c r="M155" s="3">
        <v>0</v>
      </c>
      <c r="N155" s="3">
        <v>123.83000000000001</v>
      </c>
      <c r="O155" s="3">
        <v>126.6015</v>
      </c>
      <c r="P155" s="3">
        <v>2.9013119999999999</v>
      </c>
      <c r="Q155" s="5"/>
      <c r="S155" s="5"/>
      <c r="T155" s="5"/>
    </row>
    <row r="156" spans="2:20" x14ac:dyDescent="0.2">
      <c r="B156" s="1">
        <v>154</v>
      </c>
      <c r="C156" t="s">
        <v>178</v>
      </c>
      <c r="D156" s="3">
        <v>69.75</v>
      </c>
      <c r="E156" s="3">
        <v>5.3849999999999998</v>
      </c>
      <c r="F156" s="3">
        <v>2.7</v>
      </c>
      <c r="G156" s="3">
        <v>2.6850000000000001</v>
      </c>
      <c r="H156" s="3">
        <v>1.8699999999999999</v>
      </c>
      <c r="I156" s="3">
        <v>1.575</v>
      </c>
      <c r="J156" s="3">
        <v>13.75</v>
      </c>
      <c r="K156" s="3">
        <v>28.060000000000002</v>
      </c>
      <c r="L156" s="3">
        <v>0.54249999999999998</v>
      </c>
      <c r="M156" s="3">
        <v>0</v>
      </c>
      <c r="N156" s="3">
        <v>121.35</v>
      </c>
      <c r="O156" s="3">
        <v>122.47749999999999</v>
      </c>
      <c r="P156" s="3">
        <v>2.75264</v>
      </c>
      <c r="Q156" s="5"/>
      <c r="S156" s="5"/>
      <c r="T156" s="5"/>
    </row>
    <row r="157" spans="2:20" x14ac:dyDescent="0.2">
      <c r="B157" s="1">
        <v>155</v>
      </c>
      <c r="C157" t="s">
        <v>179</v>
      </c>
      <c r="D157" s="3">
        <v>87.76</v>
      </c>
      <c r="E157" s="3">
        <v>5.7309999999999999</v>
      </c>
      <c r="F157" s="3">
        <v>4.798</v>
      </c>
      <c r="G157" s="3">
        <v>4.7960000000000003</v>
      </c>
      <c r="H157" s="3">
        <v>1.9389999999999998</v>
      </c>
      <c r="I157" s="3">
        <v>4.6739999999999995</v>
      </c>
      <c r="J157" s="3">
        <v>27.75</v>
      </c>
      <c r="K157" s="3">
        <v>29.73</v>
      </c>
      <c r="L157" s="3">
        <v>0.4965</v>
      </c>
      <c r="M157" s="3">
        <v>0</v>
      </c>
      <c r="N157" s="3">
        <v>74.650000000000006</v>
      </c>
      <c r="O157" s="3">
        <v>138.95750000000001</v>
      </c>
      <c r="P157" s="3">
        <v>2.8542080000000003</v>
      </c>
      <c r="Q157" s="5"/>
      <c r="S157" s="5"/>
      <c r="T157" s="5"/>
    </row>
    <row r="158" spans="2:20" x14ac:dyDescent="0.2">
      <c r="B158" s="1">
        <v>156</v>
      </c>
      <c r="C158" t="s">
        <v>180</v>
      </c>
      <c r="D158" s="3">
        <v>95.82</v>
      </c>
      <c r="E158" s="3">
        <v>5.2569999999999997</v>
      </c>
      <c r="F158" s="3">
        <v>6.4560000000000004</v>
      </c>
      <c r="G158" s="3">
        <v>6.452</v>
      </c>
      <c r="H158" s="3">
        <v>3.4529999999999998</v>
      </c>
      <c r="I158" s="3">
        <v>4.8579999999999997</v>
      </c>
      <c r="J158" s="3">
        <v>45.05</v>
      </c>
      <c r="K158" s="3">
        <v>152.75</v>
      </c>
      <c r="L158" s="3">
        <v>1.7055</v>
      </c>
      <c r="M158" s="3">
        <v>0</v>
      </c>
      <c r="N158" s="3">
        <v>102.85</v>
      </c>
      <c r="O158" s="3">
        <v>124.75749999999999</v>
      </c>
      <c r="P158" s="3">
        <v>5.0828160000000002</v>
      </c>
      <c r="Q158" s="5"/>
      <c r="S158" s="5"/>
      <c r="T158" s="5"/>
    </row>
    <row r="159" spans="2:20" x14ac:dyDescent="0.2">
      <c r="B159" s="1">
        <v>157</v>
      </c>
      <c r="C159" t="s">
        <v>181</v>
      </c>
      <c r="D159" s="3">
        <v>82.95</v>
      </c>
      <c r="E159" s="3">
        <v>5.5949999999999998</v>
      </c>
      <c r="F159" s="3">
        <v>3.6749999999999998</v>
      </c>
      <c r="G159" s="3">
        <v>1.5</v>
      </c>
      <c r="H159" s="3">
        <v>3.4750000000000001</v>
      </c>
      <c r="I159" s="3">
        <v>2.5499999999999998</v>
      </c>
      <c r="J159" s="3">
        <v>7.75</v>
      </c>
      <c r="K159" s="3">
        <v>15.01</v>
      </c>
      <c r="L159" s="3">
        <v>1.8025</v>
      </c>
      <c r="M159" s="3">
        <v>0</v>
      </c>
      <c r="N159" s="3">
        <v>325.35000000000002</v>
      </c>
      <c r="O159" s="3">
        <v>124.5775</v>
      </c>
      <c r="P159" s="3">
        <v>5.1151999999999997</v>
      </c>
      <c r="Q159" s="5"/>
      <c r="S159" s="5"/>
      <c r="T159" s="5"/>
    </row>
    <row r="160" spans="2:20" x14ac:dyDescent="0.2">
      <c r="B160" s="1">
        <v>158</v>
      </c>
      <c r="C160" t="s">
        <v>182</v>
      </c>
      <c r="D160" s="3">
        <v>88.32</v>
      </c>
      <c r="E160" s="3">
        <v>5.2569999999999997</v>
      </c>
      <c r="F160" s="3">
        <v>4.3559999999999999</v>
      </c>
      <c r="G160" s="3">
        <v>4.3520000000000003</v>
      </c>
      <c r="H160" s="3">
        <v>3.6029999999999998</v>
      </c>
      <c r="I160" s="3">
        <v>4.8579999999999997</v>
      </c>
      <c r="J160" s="3">
        <v>48.05</v>
      </c>
      <c r="K160" s="3">
        <v>60.949999999999996</v>
      </c>
      <c r="L160" s="3">
        <v>1.6605000000000001</v>
      </c>
      <c r="M160" s="3">
        <v>0</v>
      </c>
      <c r="N160" s="3">
        <v>146.35</v>
      </c>
      <c r="O160" s="3">
        <v>164.8075</v>
      </c>
      <c r="P160" s="3">
        <v>5.3036160000000008</v>
      </c>
      <c r="Q160" s="5"/>
      <c r="S160" s="5"/>
      <c r="T160" s="5"/>
    </row>
    <row r="161" spans="2:20" x14ac:dyDescent="0.2">
      <c r="B161" s="1">
        <v>159</v>
      </c>
      <c r="C161" t="s">
        <v>183</v>
      </c>
      <c r="D161" s="3">
        <v>134.63999999999999</v>
      </c>
      <c r="E161" s="3">
        <v>7.5258000000000003</v>
      </c>
      <c r="F161" s="3">
        <v>13.011000000000001</v>
      </c>
      <c r="G161" s="3">
        <v>7.4634</v>
      </c>
      <c r="H161" s="3">
        <v>2.3298000000000001</v>
      </c>
      <c r="I161" s="3">
        <v>5.4939999999999998</v>
      </c>
      <c r="J161" s="3">
        <v>237.67000000000002</v>
      </c>
      <c r="K161" s="3">
        <v>20.330000000000002</v>
      </c>
      <c r="L161" s="3">
        <v>0.65249999999999997</v>
      </c>
      <c r="M161" s="3">
        <v>5.1000000000000004E-4</v>
      </c>
      <c r="N161" s="3">
        <v>125.53999999999999</v>
      </c>
      <c r="O161" s="3">
        <v>164.9435</v>
      </c>
      <c r="P161" s="3">
        <v>2.8719455999999997</v>
      </c>
      <c r="Q161" s="5"/>
      <c r="S161" s="5"/>
      <c r="T161" s="5"/>
    </row>
    <row r="162" spans="2:20" x14ac:dyDescent="0.2">
      <c r="B162" s="1">
        <v>160</v>
      </c>
      <c r="C162" t="s">
        <v>184</v>
      </c>
      <c r="D162" s="3">
        <v>99.9</v>
      </c>
      <c r="E162" s="3">
        <v>5.7450000000000001</v>
      </c>
      <c r="F162" s="3">
        <v>8.9700000000000006</v>
      </c>
      <c r="G162" s="3">
        <v>7.2</v>
      </c>
      <c r="H162" s="3">
        <v>1.615</v>
      </c>
      <c r="I162" s="3">
        <v>4.8</v>
      </c>
      <c r="J162" s="3">
        <v>7.75</v>
      </c>
      <c r="K162" s="3">
        <v>7.21</v>
      </c>
      <c r="L162" s="3">
        <v>0.3175</v>
      </c>
      <c r="M162" s="3">
        <v>0</v>
      </c>
      <c r="N162" s="3">
        <v>113.85</v>
      </c>
      <c r="O162" s="3">
        <v>128.92750000000001</v>
      </c>
      <c r="P162" s="3">
        <v>2.3772799999999998</v>
      </c>
      <c r="Q162" s="5"/>
      <c r="S162" s="5"/>
      <c r="T162" s="5"/>
    </row>
    <row r="163" spans="2:20" x14ac:dyDescent="0.2">
      <c r="B163" s="1">
        <v>161</v>
      </c>
      <c r="C163" t="s">
        <v>186</v>
      </c>
      <c r="D163" s="3">
        <v>96.53</v>
      </c>
      <c r="E163" s="3">
        <v>6.4279999999999999</v>
      </c>
      <c r="F163" s="3">
        <v>6.2789999999999999</v>
      </c>
      <c r="G163" s="3">
        <v>3.4499999999999997</v>
      </c>
      <c r="H163" s="3">
        <v>2.4499999999999997</v>
      </c>
      <c r="I163" s="3">
        <v>3.996</v>
      </c>
      <c r="J163" s="3">
        <v>57.81</v>
      </c>
      <c r="K163" s="3">
        <v>78.41</v>
      </c>
      <c r="L163" s="3">
        <v>0.36749999999999999</v>
      </c>
      <c r="M163" s="3">
        <v>5.28E-2</v>
      </c>
      <c r="N163" s="3">
        <v>115.28999999999999</v>
      </c>
      <c r="O163" s="3">
        <v>124.8205</v>
      </c>
      <c r="P163" s="3">
        <v>2.8439519999999998</v>
      </c>
      <c r="Q163" s="5"/>
      <c r="S163" s="5"/>
      <c r="T163" s="5"/>
    </row>
    <row r="164" spans="2:20" x14ac:dyDescent="0.2">
      <c r="B164" s="1">
        <v>162</v>
      </c>
      <c r="C164" t="s">
        <v>188</v>
      </c>
      <c r="D164" s="3">
        <v>106.38999999999999</v>
      </c>
      <c r="E164" s="3">
        <v>6.4349999999999996</v>
      </c>
      <c r="F164" s="3">
        <v>4.3949999999999996</v>
      </c>
      <c r="G164" s="3">
        <v>0.64149999999999996</v>
      </c>
      <c r="H164" s="3">
        <v>6.3789999999999996</v>
      </c>
      <c r="I164" s="3">
        <v>2.85</v>
      </c>
      <c r="J164" s="3">
        <v>176.37</v>
      </c>
      <c r="K164" s="3">
        <v>157.08999999999997</v>
      </c>
      <c r="L164" s="3">
        <v>4.3552999999999988</v>
      </c>
      <c r="M164" s="3">
        <v>0.11410000000000001</v>
      </c>
      <c r="N164" s="3">
        <v>143.56</v>
      </c>
      <c r="O164" s="3">
        <v>112.895</v>
      </c>
      <c r="P164" s="3">
        <v>8.5099359999999997</v>
      </c>
      <c r="Q164" s="5"/>
      <c r="S164" s="5"/>
      <c r="T164" s="5"/>
    </row>
    <row r="165" spans="2:20" x14ac:dyDescent="0.2">
      <c r="B165" s="1">
        <v>163</v>
      </c>
      <c r="C165" t="s">
        <v>189</v>
      </c>
      <c r="D165" s="3">
        <v>97.949999999999989</v>
      </c>
      <c r="E165" s="3">
        <v>4.8949999999999996</v>
      </c>
      <c r="F165" s="3">
        <v>11.43</v>
      </c>
      <c r="G165" s="3">
        <v>9.0414999999999992</v>
      </c>
      <c r="H165" s="3">
        <v>0.98</v>
      </c>
      <c r="I165" s="3">
        <v>4.05</v>
      </c>
      <c r="J165" s="3">
        <v>65.75</v>
      </c>
      <c r="K165" s="3">
        <v>38.39</v>
      </c>
      <c r="L165" s="3">
        <v>0.36130000000000001</v>
      </c>
      <c r="M165" s="3">
        <v>8.5000000000000006E-3</v>
      </c>
      <c r="N165" s="3">
        <v>78.400000000000006</v>
      </c>
      <c r="O165" s="3">
        <v>57.545000000000002</v>
      </c>
      <c r="P165" s="3">
        <v>1.4184799999999997</v>
      </c>
      <c r="Q165" s="5"/>
      <c r="S165" s="5"/>
      <c r="T165" s="5"/>
    </row>
    <row r="166" spans="2:20" x14ac:dyDescent="0.2">
      <c r="B166" s="1">
        <v>164</v>
      </c>
      <c r="C166" t="s">
        <v>190</v>
      </c>
      <c r="D166" s="3">
        <v>83.53</v>
      </c>
      <c r="E166" s="3">
        <v>4.0600000000000005</v>
      </c>
      <c r="F166" s="3">
        <v>7.5510000000000002</v>
      </c>
      <c r="G166" s="3">
        <v>4.7699000000000007</v>
      </c>
      <c r="H166" s="3">
        <v>2.9020000000000001</v>
      </c>
      <c r="I166" s="3">
        <v>3.5210000000000004</v>
      </c>
      <c r="J166" s="3">
        <v>40.090000000000003</v>
      </c>
      <c r="K166" s="3">
        <v>52.483999999999995</v>
      </c>
      <c r="L166" s="3">
        <v>0.45178000000000001</v>
      </c>
      <c r="M166" s="3">
        <v>8.4299999999999986E-2</v>
      </c>
      <c r="N166" s="3">
        <v>141.92000000000002</v>
      </c>
      <c r="O166" s="3">
        <v>104.52000000000002</v>
      </c>
      <c r="P166" s="3">
        <v>3.2808799999999998</v>
      </c>
      <c r="Q166" s="5"/>
      <c r="S166" s="5"/>
      <c r="T166" s="5"/>
    </row>
    <row r="167" spans="2:20" x14ac:dyDescent="0.2">
      <c r="B167" s="1">
        <v>165</v>
      </c>
      <c r="C167" t="s">
        <v>191</v>
      </c>
      <c r="D167" s="3">
        <v>103.86</v>
      </c>
      <c r="E167" s="3">
        <v>4.7712000000000003</v>
      </c>
      <c r="F167" s="3">
        <v>7.8619999999999992</v>
      </c>
      <c r="G167" s="3">
        <v>4.99</v>
      </c>
      <c r="H167" s="3">
        <v>6.2259999999999991</v>
      </c>
      <c r="I167" s="3">
        <v>2.8980000000000001</v>
      </c>
      <c r="J167" s="3">
        <v>36.168800000000005</v>
      </c>
      <c r="K167" s="3">
        <v>96.728000000000009</v>
      </c>
      <c r="L167" s="3">
        <v>1.37104</v>
      </c>
      <c r="M167" s="3">
        <v>0.2104</v>
      </c>
      <c r="N167" s="3">
        <v>220.26000000000002</v>
      </c>
      <c r="O167" s="3">
        <v>375.54200000000003</v>
      </c>
      <c r="P167" s="3">
        <v>7.3988159999999992</v>
      </c>
      <c r="Q167" s="5"/>
      <c r="S167" s="5"/>
      <c r="T167" s="5"/>
    </row>
    <row r="168" spans="2:20" x14ac:dyDescent="0.2">
      <c r="B168" s="1">
        <v>166</v>
      </c>
      <c r="C168" t="s">
        <v>194</v>
      </c>
      <c r="D168" s="3">
        <v>106.75999999999999</v>
      </c>
      <c r="E168" s="3">
        <v>5.6912000000000003</v>
      </c>
      <c r="F168" s="3">
        <v>7.1569999999999991</v>
      </c>
      <c r="G168" s="3">
        <v>3.6399999999999997</v>
      </c>
      <c r="H168" s="3">
        <v>5.0409999999999995</v>
      </c>
      <c r="I168" s="3">
        <v>3.468</v>
      </c>
      <c r="J168" s="3">
        <v>43.8688</v>
      </c>
      <c r="K168" s="3">
        <v>100.02800000000001</v>
      </c>
      <c r="L168" s="3">
        <v>0.47604000000000002</v>
      </c>
      <c r="M168" s="3">
        <v>0.2104</v>
      </c>
      <c r="N168" s="3">
        <v>158.86000000000001</v>
      </c>
      <c r="O168" s="3">
        <v>138.792</v>
      </c>
      <c r="P168" s="3">
        <v>5.654496</v>
      </c>
      <c r="Q168" s="5"/>
      <c r="S168" s="5"/>
      <c r="T168" s="5"/>
    </row>
    <row r="169" spans="2:20" x14ac:dyDescent="0.2">
      <c r="B169" s="1">
        <v>167</v>
      </c>
      <c r="C169" t="s">
        <v>195</v>
      </c>
      <c r="D169" s="3">
        <v>86.589999999999989</v>
      </c>
      <c r="E169" s="3">
        <v>6.1349999999999998</v>
      </c>
      <c r="F169" s="3">
        <v>3.9899999999999998</v>
      </c>
      <c r="G169" s="3">
        <v>3.3414999999999999</v>
      </c>
      <c r="H169" s="3">
        <v>2.7789999999999999</v>
      </c>
      <c r="I169" s="3">
        <v>3.9</v>
      </c>
      <c r="J169" s="3">
        <v>59.370000000000005</v>
      </c>
      <c r="K169" s="3">
        <v>95.59</v>
      </c>
      <c r="L169" s="3">
        <v>0.30530000000000002</v>
      </c>
      <c r="M169" s="3">
        <v>0.11410000000000001</v>
      </c>
      <c r="N169" s="3">
        <v>164.56</v>
      </c>
      <c r="O169" s="3">
        <v>98.344999999999999</v>
      </c>
      <c r="P169" s="3">
        <v>3.2107359999999998</v>
      </c>
      <c r="Q169" s="5"/>
      <c r="S169" s="5"/>
      <c r="T169" s="5"/>
    </row>
    <row r="170" spans="2:20" x14ac:dyDescent="0.2">
      <c r="B170" s="1">
        <v>168</v>
      </c>
      <c r="C170" t="s">
        <v>193</v>
      </c>
      <c r="D170" s="3">
        <v>90.699999999999989</v>
      </c>
      <c r="E170" s="3">
        <v>6.2</v>
      </c>
      <c r="F170" s="3">
        <v>3.1949999999999998</v>
      </c>
      <c r="G170" s="3">
        <v>2.5499999999999998</v>
      </c>
      <c r="H170" s="3">
        <v>3.9899999999999998</v>
      </c>
      <c r="I170" s="3">
        <v>3.3</v>
      </c>
      <c r="J170" s="3">
        <v>189.25</v>
      </c>
      <c r="K170" s="3">
        <v>61.61</v>
      </c>
      <c r="L170" s="3">
        <v>0.75249999999999995</v>
      </c>
      <c r="M170" s="3">
        <v>0</v>
      </c>
      <c r="N170" s="3">
        <v>66.95</v>
      </c>
      <c r="O170" s="3">
        <v>129.82749999999999</v>
      </c>
      <c r="P170" s="3">
        <v>4.8132800000000007</v>
      </c>
      <c r="Q170" s="5"/>
      <c r="S170" s="5"/>
      <c r="T170" s="5"/>
    </row>
    <row r="171" spans="2:20" x14ac:dyDescent="0.2">
      <c r="B171" s="1">
        <v>169</v>
      </c>
      <c r="C171" t="s">
        <v>171</v>
      </c>
      <c r="D171" s="3">
        <v>106.91</v>
      </c>
      <c r="E171" s="3">
        <v>5.2750000000000004</v>
      </c>
      <c r="F171" s="3">
        <v>11.337</v>
      </c>
      <c r="G171" s="3">
        <v>3.15</v>
      </c>
      <c r="H171" s="3">
        <v>2.1339999999999999</v>
      </c>
      <c r="I171" s="3">
        <v>2.87</v>
      </c>
      <c r="J171" s="3">
        <v>14.170000000000002</v>
      </c>
      <c r="K171" s="3">
        <v>28.66</v>
      </c>
      <c r="L171" s="3">
        <v>0.88949999999999996</v>
      </c>
      <c r="M171" s="3">
        <v>0</v>
      </c>
      <c r="N171" s="3">
        <v>56.35</v>
      </c>
      <c r="O171" s="3">
        <v>127.5475</v>
      </c>
      <c r="P171" s="3">
        <v>1.9143680000000001</v>
      </c>
      <c r="Q171" s="5"/>
      <c r="S171" s="5"/>
      <c r="T171" s="5"/>
    </row>
    <row r="172" spans="2:20" x14ac:dyDescent="0.2">
      <c r="B172" s="1">
        <v>170</v>
      </c>
      <c r="C172" t="s">
        <v>172</v>
      </c>
      <c r="D172" s="3">
        <v>165.75</v>
      </c>
      <c r="E172" s="3">
        <v>5.2650000000000006</v>
      </c>
      <c r="F172" s="3">
        <v>24.3</v>
      </c>
      <c r="G172" s="3">
        <v>1.17</v>
      </c>
      <c r="H172" s="3">
        <v>3.2650000000000001</v>
      </c>
      <c r="I172" s="3">
        <v>2.7</v>
      </c>
      <c r="J172" s="3">
        <v>0.91</v>
      </c>
      <c r="K172" s="3">
        <v>21.46</v>
      </c>
      <c r="L172" s="3">
        <v>1.3674999999999999</v>
      </c>
      <c r="M172" s="3">
        <v>0</v>
      </c>
      <c r="N172" s="3">
        <v>52.35</v>
      </c>
      <c r="O172" s="3">
        <v>155.29750000000001</v>
      </c>
      <c r="P172" s="3">
        <v>1.12544</v>
      </c>
      <c r="Q172" s="5"/>
      <c r="S172" s="5"/>
      <c r="T172" s="5"/>
    </row>
    <row r="173" spans="2:20" x14ac:dyDescent="0.2">
      <c r="B173" s="1">
        <v>171</v>
      </c>
      <c r="C173" t="s">
        <v>173</v>
      </c>
      <c r="D173" s="3">
        <v>165.75</v>
      </c>
      <c r="E173" s="3">
        <v>5.2650000000000006</v>
      </c>
      <c r="F173" s="3">
        <v>24.3</v>
      </c>
      <c r="G173" s="3">
        <v>1.17</v>
      </c>
      <c r="H173" s="3">
        <v>3.2650000000000001</v>
      </c>
      <c r="I173" s="3">
        <v>2.7</v>
      </c>
      <c r="J173" s="3">
        <v>0.91</v>
      </c>
      <c r="K173" s="3">
        <v>21.46</v>
      </c>
      <c r="L173" s="3">
        <v>1.3674999999999999</v>
      </c>
      <c r="M173" s="3">
        <v>0</v>
      </c>
      <c r="N173" s="3">
        <v>52.35</v>
      </c>
      <c r="O173" s="3">
        <v>155.29750000000001</v>
      </c>
      <c r="P173" s="3">
        <v>1.12544</v>
      </c>
      <c r="Q173" s="5"/>
      <c r="S173" s="5"/>
      <c r="T173" s="5"/>
    </row>
    <row r="174" spans="2:20" x14ac:dyDescent="0.2">
      <c r="B174" s="1">
        <v>172</v>
      </c>
      <c r="C174" t="s">
        <v>174</v>
      </c>
      <c r="D174" s="3">
        <v>165.75</v>
      </c>
      <c r="E174" s="3">
        <v>5.2650000000000006</v>
      </c>
      <c r="F174" s="3">
        <v>24.3</v>
      </c>
      <c r="G174" s="3">
        <v>1.17</v>
      </c>
      <c r="H174" s="3">
        <v>3.2650000000000001</v>
      </c>
      <c r="I174" s="3">
        <v>2.7</v>
      </c>
      <c r="J174" s="3">
        <v>0.91</v>
      </c>
      <c r="K174" s="3">
        <v>21.46</v>
      </c>
      <c r="L174" s="3">
        <v>1.3674999999999999</v>
      </c>
      <c r="M174" s="3">
        <v>0</v>
      </c>
      <c r="N174" s="3">
        <v>52.35</v>
      </c>
      <c r="O174" s="3">
        <v>155.29750000000001</v>
      </c>
      <c r="P174" s="3">
        <v>1.12544</v>
      </c>
      <c r="Q174" s="5"/>
      <c r="S174" s="5"/>
      <c r="T174" s="5"/>
    </row>
    <row r="175" spans="2:20" x14ac:dyDescent="0.2">
      <c r="B175" s="1">
        <v>173</v>
      </c>
      <c r="C175" t="s">
        <v>175</v>
      </c>
      <c r="D175" s="3">
        <v>165.75</v>
      </c>
      <c r="E175" s="3">
        <v>5.2650000000000006</v>
      </c>
      <c r="F175" s="3">
        <v>24.3</v>
      </c>
      <c r="G175" s="3">
        <v>1.17</v>
      </c>
      <c r="H175" s="3">
        <v>3.2650000000000001</v>
      </c>
      <c r="I175" s="3">
        <v>2.7</v>
      </c>
      <c r="J175" s="3">
        <v>0.91</v>
      </c>
      <c r="K175" s="3">
        <v>21.46</v>
      </c>
      <c r="L175" s="3">
        <v>1.3674999999999999</v>
      </c>
      <c r="M175" s="3">
        <v>0</v>
      </c>
      <c r="N175" s="3">
        <v>52.35</v>
      </c>
      <c r="O175" s="3">
        <v>155.29750000000001</v>
      </c>
      <c r="P175" s="3">
        <v>1.12544</v>
      </c>
      <c r="Q175" s="5"/>
      <c r="S175" s="5"/>
      <c r="T175" s="5"/>
    </row>
    <row r="176" spans="2:20" x14ac:dyDescent="0.2">
      <c r="B176" s="1">
        <v>174</v>
      </c>
      <c r="C176" t="s">
        <v>185</v>
      </c>
      <c r="D176" s="3">
        <v>159.6</v>
      </c>
      <c r="E176" s="3">
        <v>5.4450000000000003</v>
      </c>
      <c r="F176" s="3">
        <v>23.85</v>
      </c>
      <c r="G176" s="3">
        <v>0.3</v>
      </c>
      <c r="H176" s="3">
        <v>2.8449999999999998</v>
      </c>
      <c r="I176" s="3">
        <v>1.95</v>
      </c>
      <c r="J176" s="3">
        <v>34.75</v>
      </c>
      <c r="K176" s="3">
        <v>15.01</v>
      </c>
      <c r="L176" s="3">
        <v>0.90249999999999997</v>
      </c>
      <c r="M176" s="3">
        <v>0</v>
      </c>
      <c r="N176" s="3">
        <v>52.35</v>
      </c>
      <c r="O176" s="3">
        <v>155.29750000000001</v>
      </c>
      <c r="P176" s="3">
        <v>0.98432000000000008</v>
      </c>
      <c r="Q176" s="5"/>
      <c r="S176" s="5"/>
      <c r="T176" s="5"/>
    </row>
    <row r="177" spans="2:20" x14ac:dyDescent="0.2">
      <c r="B177" s="1">
        <v>175</v>
      </c>
      <c r="C177" t="s">
        <v>187</v>
      </c>
      <c r="D177" s="3">
        <v>212.75500000000002</v>
      </c>
      <c r="E177" s="3">
        <v>8.2275000000000009</v>
      </c>
      <c r="F177" s="3">
        <v>26.6175</v>
      </c>
      <c r="G177" s="3">
        <v>3.4548999999999999</v>
      </c>
      <c r="H177" s="3">
        <v>6.016</v>
      </c>
      <c r="I177" s="3">
        <v>2.7</v>
      </c>
      <c r="J177" s="3">
        <v>47.22</v>
      </c>
      <c r="K177" s="3">
        <v>117.42400000000001</v>
      </c>
      <c r="L177" s="3">
        <v>1.3845800000000001</v>
      </c>
      <c r="M177" s="3">
        <v>0.3397</v>
      </c>
      <c r="N177" s="3">
        <v>212.95000000000002</v>
      </c>
      <c r="O177" s="3">
        <v>226.0145</v>
      </c>
      <c r="P177" s="3">
        <v>3.2650239999999999</v>
      </c>
      <c r="Q177" s="5"/>
      <c r="S177" s="5"/>
      <c r="T177" s="5"/>
    </row>
    <row r="178" spans="2:20" x14ac:dyDescent="0.2">
      <c r="B178" s="1">
        <v>176</v>
      </c>
      <c r="C178" t="s">
        <v>192</v>
      </c>
      <c r="D178" s="3">
        <v>200.58</v>
      </c>
      <c r="E178" s="3">
        <v>6.5286</v>
      </c>
      <c r="F178" s="3">
        <v>28.276399999999999</v>
      </c>
      <c r="G178" s="3">
        <v>1.5022</v>
      </c>
      <c r="H178" s="3">
        <v>5.3109999999999999</v>
      </c>
      <c r="I178" s="3">
        <v>2.8600000000000003</v>
      </c>
      <c r="J178" s="3">
        <v>37.04</v>
      </c>
      <c r="K178" s="3">
        <v>37.234000000000002</v>
      </c>
      <c r="L178" s="3">
        <v>1.69716</v>
      </c>
      <c r="M178" s="3">
        <v>0.18419999999999997</v>
      </c>
      <c r="N178" s="3">
        <v>128.38</v>
      </c>
      <c r="O178" s="3">
        <v>153.07299999999998</v>
      </c>
      <c r="P178" s="3">
        <v>2.502224</v>
      </c>
      <c r="Q178" s="5"/>
      <c r="S178" s="5"/>
      <c r="T178" s="5"/>
    </row>
    <row r="179" spans="2:20" x14ac:dyDescent="0.2">
      <c r="B179" s="1">
        <v>177</v>
      </c>
      <c r="C179" t="s">
        <v>196</v>
      </c>
      <c r="D179" s="3">
        <v>110.4</v>
      </c>
      <c r="E179" s="3">
        <v>0.64400000000000002</v>
      </c>
      <c r="F179" s="3">
        <v>21.76</v>
      </c>
      <c r="G179" s="3">
        <v>1.0960000000000001</v>
      </c>
      <c r="H179" s="3">
        <v>3.2840000000000003</v>
      </c>
      <c r="I179" s="3">
        <v>1.536</v>
      </c>
      <c r="J179" s="3">
        <v>204.8</v>
      </c>
      <c r="K179" s="3">
        <v>12.44</v>
      </c>
      <c r="L179" s="3">
        <v>0.5</v>
      </c>
      <c r="M179" s="3">
        <v>0</v>
      </c>
      <c r="N179" s="3">
        <v>35.6</v>
      </c>
      <c r="O179" s="3">
        <v>41.24</v>
      </c>
      <c r="P179" s="3">
        <v>1.208512</v>
      </c>
      <c r="Q179" s="5"/>
      <c r="S179" s="5"/>
      <c r="T179" s="5"/>
    </row>
    <row r="180" spans="2:20" x14ac:dyDescent="0.2">
      <c r="B180" s="1">
        <v>178</v>
      </c>
      <c r="C180" t="s">
        <v>197</v>
      </c>
      <c r="D180" s="3">
        <v>89.25</v>
      </c>
      <c r="E180" s="3">
        <v>0.39</v>
      </c>
      <c r="F180" s="3">
        <v>17.399999999999999</v>
      </c>
      <c r="G180" s="3">
        <v>14.835000000000001</v>
      </c>
      <c r="H180" s="3">
        <v>1.05</v>
      </c>
      <c r="I180" s="3">
        <v>2.9550000000000001</v>
      </c>
      <c r="J180" s="3">
        <v>5.1749999999999998</v>
      </c>
      <c r="K180" s="3">
        <v>21.75</v>
      </c>
      <c r="L180" s="3">
        <v>0.27</v>
      </c>
      <c r="M180" s="3">
        <v>0</v>
      </c>
      <c r="N180" s="3">
        <v>59.549174999999998</v>
      </c>
      <c r="O180" s="3">
        <v>143.68213235294118</v>
      </c>
      <c r="P180" s="3">
        <v>1.5455999999999996</v>
      </c>
      <c r="Q180" s="5"/>
      <c r="S180" s="5"/>
      <c r="T180" s="5"/>
    </row>
    <row r="181" spans="2:20" x14ac:dyDescent="0.2">
      <c r="S181" s="5"/>
      <c r="T181" s="5"/>
    </row>
    <row r="182" spans="2:20" x14ac:dyDescent="0.2">
      <c r="S182" s="5"/>
      <c r="T182" s="5"/>
    </row>
    <row r="183" spans="2:20" x14ac:dyDescent="0.2">
      <c r="C183" s="23" t="s">
        <v>200</v>
      </c>
      <c r="D183" s="23"/>
      <c r="E183" s="23"/>
      <c r="S183" s="5"/>
      <c r="T183" s="5"/>
    </row>
    <row r="184" spans="2:20" x14ac:dyDescent="0.2">
      <c r="C184" s="1"/>
      <c r="D184" s="3" t="s">
        <v>199</v>
      </c>
      <c r="E184" s="3" t="s">
        <v>201</v>
      </c>
      <c r="S184" s="5"/>
      <c r="T184" s="5"/>
    </row>
    <row r="185" spans="2:20" x14ac:dyDescent="0.2">
      <c r="C185" t="s">
        <v>198</v>
      </c>
      <c r="D185" s="2">
        <v>1</v>
      </c>
      <c r="E185" s="2">
        <v>66</v>
      </c>
      <c r="S185" s="5"/>
      <c r="T185" s="5"/>
    </row>
    <row r="186" spans="2:20" x14ac:dyDescent="0.2">
      <c r="C186" t="s">
        <v>202</v>
      </c>
      <c r="D186" s="2">
        <v>67</v>
      </c>
      <c r="E186" s="2">
        <v>141</v>
      </c>
      <c r="S186" s="5"/>
      <c r="T186" s="5"/>
    </row>
    <row r="187" spans="2:20" x14ac:dyDescent="0.2">
      <c r="C187" t="s">
        <v>203</v>
      </c>
      <c r="D187" s="2">
        <v>142</v>
      </c>
      <c r="E187" s="2">
        <v>176</v>
      </c>
      <c r="S187" s="5"/>
      <c r="T187" s="5"/>
    </row>
    <row r="188" spans="2:20" x14ac:dyDescent="0.2">
      <c r="D188" s="2"/>
      <c r="E188" s="2"/>
      <c r="S188" s="5"/>
      <c r="T188" s="5"/>
    </row>
    <row r="189" spans="2:20" x14ac:dyDescent="0.2">
      <c r="C189" t="s">
        <v>204</v>
      </c>
      <c r="D189" s="2">
        <v>67</v>
      </c>
      <c r="E189" s="2">
        <v>73</v>
      </c>
      <c r="S189" s="5"/>
      <c r="T189" s="5"/>
    </row>
    <row r="190" spans="2:20" x14ac:dyDescent="0.2">
      <c r="C190" t="s">
        <v>205</v>
      </c>
      <c r="D190" s="2">
        <v>74</v>
      </c>
      <c r="E190" s="2">
        <v>80</v>
      </c>
      <c r="S190" s="5"/>
      <c r="T190" s="5"/>
    </row>
    <row r="191" spans="2:20" x14ac:dyDescent="0.2">
      <c r="C191" t="s">
        <v>206</v>
      </c>
      <c r="D191" s="2">
        <v>81</v>
      </c>
      <c r="E191" s="2">
        <v>106</v>
      </c>
      <c r="S191" s="5"/>
      <c r="T191" s="5"/>
    </row>
    <row r="192" spans="2:20" x14ac:dyDescent="0.2">
      <c r="C192" t="s">
        <v>207</v>
      </c>
      <c r="D192" s="2">
        <v>107</v>
      </c>
      <c r="E192" s="2">
        <v>118</v>
      </c>
      <c r="S192" s="5"/>
      <c r="T192" s="5"/>
    </row>
    <row r="193" spans="3:5" x14ac:dyDescent="0.2">
      <c r="C193" t="s">
        <v>208</v>
      </c>
      <c r="D193" s="2">
        <v>119</v>
      </c>
      <c r="E193" s="2">
        <v>141</v>
      </c>
    </row>
    <row r="194" spans="3:5" x14ac:dyDescent="0.2">
      <c r="C194" t="s">
        <v>209</v>
      </c>
      <c r="D194" s="2">
        <v>142</v>
      </c>
      <c r="E194" s="2">
        <v>169</v>
      </c>
    </row>
  </sheetData>
  <mergeCells count="1">
    <mergeCell ref="C183:E1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food nutritional values</vt:lpstr>
      <vt:lpstr>group lunch lower bounds</vt:lpstr>
      <vt:lpstr>group daily intake requirements</vt:lpstr>
      <vt:lpstr>Foglio1 (original)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NURIA GOMEZ VARGAS</cp:lastModifiedBy>
  <dcterms:created xsi:type="dcterms:W3CDTF">2022-02-18T07:46:21Z</dcterms:created>
  <dcterms:modified xsi:type="dcterms:W3CDTF">2025-02-06T13:49:38Z</dcterms:modified>
</cp:coreProperties>
</file>